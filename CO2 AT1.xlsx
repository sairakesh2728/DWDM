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VRV Reddy\Desktop\DWDM\"/>
    </mc:Choice>
  </mc:AlternateContent>
  <xr:revisionPtr revIDLastSave="0" documentId="8_{68FF5689-940C-4094-BDB1-EDD73CF41095}" xr6:coauthVersionLast="47" xr6:coauthVersionMax="47" xr10:uidLastSave="{00000000-0000-0000-0000-000000000000}"/>
  <bookViews>
    <workbookView xWindow="-120" yWindow="-120" windowWidth="20640" windowHeight="11040" tabRatio="500" xr2:uid="{00000000-000D-0000-FFFF-FFFF00000000}"/>
  </bookViews>
  <sheets>
    <sheet name="Q1 Duplicate Detection" sheetId="1" r:id="rId1"/>
    <sheet name="Q2 Covariance" sheetId="2" r:id="rId2"/>
    <sheet name="Q3 Outlier Z-Score" sheetId="3" r:id="rId3"/>
    <sheet name="Q4 Equal-Width Binning" sheetId="4" r:id="rId4"/>
    <sheet name="Q5 Standardization"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31" i="5" l="1"/>
  <c r="B30" i="5"/>
  <c r="B29" i="5"/>
  <c r="B28" i="5"/>
  <c r="B27" i="5"/>
  <c r="B26" i="5"/>
  <c r="B25" i="5"/>
  <c r="B24" i="5"/>
  <c r="B23" i="5"/>
  <c r="B22" i="5"/>
  <c r="B16" i="5"/>
  <c r="B15" i="5"/>
  <c r="C7" i="5" s="1"/>
  <c r="C13" i="5"/>
  <c r="E13" i="5" s="1"/>
  <c r="C9" i="5"/>
  <c r="E9" i="5" s="1"/>
  <c r="C8" i="5"/>
  <c r="D8" i="5" s="1"/>
  <c r="C6" i="5"/>
  <c r="E6" i="5" s="1"/>
  <c r="C5" i="5"/>
  <c r="E5" i="5" s="1"/>
  <c r="B12" i="4"/>
  <c r="B6" i="4"/>
  <c r="B8" i="4" s="1"/>
  <c r="C12" i="4" s="1"/>
  <c r="B17" i="3"/>
  <c r="B16" i="3"/>
  <c r="C6" i="3" s="1"/>
  <c r="C13" i="3"/>
  <c r="E13" i="3" s="1"/>
  <c r="C12" i="3"/>
  <c r="E12" i="3" s="1"/>
  <c r="C11" i="3"/>
  <c r="E11" i="3" s="1"/>
  <c r="E10" i="3"/>
  <c r="C10" i="3"/>
  <c r="D10" i="3" s="1"/>
  <c r="C8" i="3"/>
  <c r="E8" i="3" s="1"/>
  <c r="C7" i="3"/>
  <c r="E7" i="3" s="1"/>
  <c r="C10" i="2"/>
  <c r="E7" i="2" s="1"/>
  <c r="B10" i="2"/>
  <c r="D6" i="2" s="1"/>
  <c r="E8" i="2"/>
  <c r="D8" i="2"/>
  <c r="F8" i="2" s="1"/>
  <c r="D7" i="2"/>
  <c r="E4" i="2"/>
  <c r="D4" i="2"/>
  <c r="F4" i="2" s="1"/>
  <c r="B31" i="1"/>
  <c r="B30" i="1"/>
  <c r="B29" i="1"/>
  <c r="B28" i="1"/>
  <c r="C14" i="1"/>
  <c r="D14" i="1" s="1"/>
  <c r="C13" i="1"/>
  <c r="D13" i="1" s="1"/>
  <c r="C12" i="1"/>
  <c r="D12" i="1" s="1"/>
  <c r="C11" i="1"/>
  <c r="D11" i="1" s="1"/>
  <c r="C10" i="1"/>
  <c r="D10" i="1" s="1"/>
  <c r="C9" i="1"/>
  <c r="D9" i="1" s="1"/>
  <c r="C8" i="1"/>
  <c r="D8" i="1" s="1"/>
  <c r="C7" i="1"/>
  <c r="D7" i="1" s="1"/>
  <c r="C6" i="1"/>
  <c r="D6" i="1" s="1"/>
  <c r="C5" i="1"/>
  <c r="D5" i="1" s="1"/>
  <c r="D24" i="5" l="1"/>
  <c r="C24" i="5"/>
  <c r="D27" i="5"/>
  <c r="C27" i="5"/>
  <c r="D31" i="5"/>
  <c r="C31" i="5"/>
  <c r="D7" i="5"/>
  <c r="E7" i="5"/>
  <c r="C20" i="4"/>
  <c r="C19" i="4"/>
  <c r="C13" i="4"/>
  <c r="C21" i="4"/>
  <c r="B13" i="4"/>
  <c r="C22" i="4"/>
  <c r="C18" i="4"/>
  <c r="D6" i="3"/>
  <c r="E6" i="3"/>
  <c r="F7" i="2"/>
  <c r="D23" i="5"/>
  <c r="C23" i="5"/>
  <c r="D13" i="3"/>
  <c r="E8" i="5"/>
  <c r="D8" i="3"/>
  <c r="C14" i="3"/>
  <c r="C4" i="5"/>
  <c r="D9" i="5"/>
  <c r="D5" i="2"/>
  <c r="C9" i="3"/>
  <c r="B19" i="5"/>
  <c r="E5" i="2"/>
  <c r="C4" i="3"/>
  <c r="C10" i="5"/>
  <c r="D12" i="3"/>
  <c r="D13" i="5"/>
  <c r="D7" i="3"/>
  <c r="D5" i="5"/>
  <c r="E6" i="2"/>
  <c r="F6" i="2" s="1"/>
  <c r="C5" i="3"/>
  <c r="C11" i="5"/>
  <c r="D6" i="5"/>
  <c r="D11" i="3"/>
  <c r="C12" i="5"/>
  <c r="E11" i="5" l="1"/>
  <c r="D11" i="5"/>
  <c r="E5" i="3"/>
  <c r="D5" i="3"/>
  <c r="E20" i="4"/>
  <c r="D20" i="4"/>
  <c r="F20" i="4" s="1"/>
  <c r="E4" i="3"/>
  <c r="D4" i="3"/>
  <c r="C14" i="4"/>
  <c r="B14" i="4"/>
  <c r="E19" i="4"/>
  <c r="D19" i="4"/>
  <c r="D25" i="5"/>
  <c r="C25" i="5"/>
  <c r="E18" i="4"/>
  <c r="D18" i="4"/>
  <c r="F18" i="4" s="1"/>
  <c r="D21" i="4"/>
  <c r="E21" i="4"/>
  <c r="D26" i="5"/>
  <c r="C26" i="5"/>
  <c r="C23" i="4"/>
  <c r="C28" i="4"/>
  <c r="C26" i="4"/>
  <c r="E4" i="5"/>
  <c r="D4" i="5"/>
  <c r="C25" i="4"/>
  <c r="C27" i="4"/>
  <c r="C24" i="4"/>
  <c r="E10" i="5"/>
  <c r="D10" i="5"/>
  <c r="E22" i="4"/>
  <c r="D22" i="4"/>
  <c r="F22" i="4" s="1"/>
  <c r="E9" i="3"/>
  <c r="D9" i="3"/>
  <c r="F5" i="2"/>
  <c r="F9" i="2" s="1"/>
  <c r="E12" i="5"/>
  <c r="D12" i="5"/>
  <c r="E14" i="3"/>
  <c r="D14" i="3"/>
  <c r="C29" i="4"/>
  <c r="D28" i="5" l="1"/>
  <c r="C28" i="5"/>
  <c r="E24" i="4"/>
  <c r="D24" i="4"/>
  <c r="E27" i="4"/>
  <c r="D27" i="4"/>
  <c r="F27" i="4" s="1"/>
  <c r="D29" i="4"/>
  <c r="E29" i="4"/>
  <c r="D22" i="5"/>
  <c r="C22" i="5"/>
  <c r="F19" i="4"/>
  <c r="D25" i="4"/>
  <c r="E25" i="4"/>
  <c r="D14" i="5"/>
  <c r="D15" i="3"/>
  <c r="E26" i="4"/>
  <c r="D26" i="4"/>
  <c r="C21" i="3"/>
  <c r="B21" i="3"/>
  <c r="E28" i="4"/>
  <c r="D28" i="4"/>
  <c r="F28" i="4" s="1"/>
  <c r="D30" i="5"/>
  <c r="C30" i="5"/>
  <c r="E23" i="4"/>
  <c r="D23" i="4"/>
  <c r="F23" i="4" s="1"/>
  <c r="F14" i="2"/>
  <c r="F13" i="2"/>
  <c r="F21" i="4"/>
  <c r="D29" i="5"/>
  <c r="C29" i="5"/>
  <c r="F25" i="4" l="1"/>
  <c r="F29" i="4"/>
  <c r="F24" i="4"/>
  <c r="F26" i="4"/>
</calcChain>
</file>

<file path=xl/sharedStrings.xml><?xml version="1.0" encoding="utf-8"?>
<sst xmlns="http://schemas.openxmlformats.org/spreadsheetml/2006/main" count="96" uniqueCount="73">
  <si>
    <t>Q1: Data Cleaning using Duplicate Detection (Patient Registration)</t>
  </si>
  <si>
    <t>Step 1: Original Records with Duplicate Flag</t>
  </si>
  <si>
    <t>S.No</t>
  </si>
  <si>
    <t>Patient ID</t>
  </si>
  <si>
    <t>Occurrence Count (in list)</t>
  </si>
  <si>
    <t>Duplicate? (Y/N)</t>
  </si>
  <si>
    <t>P101</t>
  </si>
  <si>
    <t>P102</t>
  </si>
  <si>
    <t>P105</t>
  </si>
  <si>
    <t>P103</t>
  </si>
  <si>
    <t>P107</t>
  </si>
  <si>
    <t>P108</t>
  </si>
  <si>
    <t>P110</t>
  </si>
  <si>
    <t>P112</t>
  </si>
  <si>
    <t>Step 2: Unique Patient List (duplicates removed)</t>
  </si>
  <si>
    <t>Unique Patient ID</t>
  </si>
  <si>
    <t>Step 3: Summary</t>
  </si>
  <si>
    <t>Total Records Extracted:</t>
  </si>
  <si>
    <t>Duplicate ID Values Found:</t>
  </si>
  <si>
    <t>Number of Duplicate (extra) entries removed:</t>
  </si>
  <si>
    <t>Number of Unique Patients:</t>
  </si>
  <si>
    <t>Q2: Covariance Analysis between Treatment Cost and Hospital Stay</t>
  </si>
  <si>
    <t>Treatment Cost x (₹ '000)</t>
  </si>
  <si>
    <t>Hospital Stay y (days)</t>
  </si>
  <si>
    <t>x - mean(x)</t>
  </si>
  <si>
    <t>y - mean(y)</t>
  </si>
  <si>
    <t>(x-mean x) * (y-mean y)</t>
  </si>
  <si>
    <t>Sum -&gt;</t>
  </si>
  <si>
    <t>Mean (x, y) -&gt;</t>
  </si>
  <si>
    <t>Covariance Calculation</t>
  </si>
  <si>
    <t>Population Covariance  Cov(x,y) = Σ[(x-x̄)(y-ȳ)] / n</t>
  </si>
  <si>
    <t>Sample Covariance  Cov(x,y) = Σ[(x-x̄)(y-ȳ)] / (n-1)</t>
  </si>
  <si>
    <t>Interpretation</t>
  </si>
  <si>
    <t>The covariance between treatment cost and hospital stay is positive (Cov ≈ +15, sample basis / +12, population basis). This indicates a positive relationship: as the treatment cost increases, the duration of hospital stay also tends to increase. Patients with higher treatment costs are generally associated with longer hospital stays, which is clinically intuitive since more severe/complex cases require both longer stays and more expensive treatment.</t>
  </si>
  <si>
    <t>Q3: Outlier Detection using Z-Score (Patient Recovery Time)</t>
  </si>
  <si>
    <t>Recovery Time (days)</t>
  </si>
  <si>
    <t>x - mean</t>
  </si>
  <si>
    <t>(x-mean)^2</t>
  </si>
  <si>
    <t>Z-score = (x-mean)/std</t>
  </si>
  <si>
    <t>Sum of squares -&gt;</t>
  </si>
  <si>
    <t>Mean:</t>
  </si>
  <si>
    <t>Standard Deviation (population):</t>
  </si>
  <si>
    <t>Outlier Identification (|z| &gt; 3)</t>
  </si>
  <si>
    <t>Observation</t>
  </si>
  <si>
    <t>Z-score</t>
  </si>
  <si>
    <t>Is Outlier (|z|&gt;3)?</t>
  </si>
  <si>
    <t>Conclusion: Only the value 35 has |z| &gt; 3, so it is identified as the sole outlier in the dataset.</t>
  </si>
  <si>
    <t>Q4: Data Discretization using Equal-Width Binning (Blood Glucose Levels)</t>
  </si>
  <si>
    <t>Bin Width Calculation</t>
  </si>
  <si>
    <t>Minimum value:</t>
  </si>
  <si>
    <t>Maximum value:</t>
  </si>
  <si>
    <t>Range (Max - Min):</t>
  </si>
  <si>
    <t>Number of bins:</t>
  </si>
  <si>
    <t>Bin width (Range / bins):</t>
  </si>
  <si>
    <t>Bin Boundaries</t>
  </si>
  <si>
    <t>Bin</t>
  </si>
  <si>
    <t>Lower Boundary</t>
  </si>
  <si>
    <t>Upper Boundary</t>
  </si>
  <si>
    <t>Bin 1</t>
  </si>
  <si>
    <t>Bin 2</t>
  </si>
  <si>
    <t>Bin 3</t>
  </si>
  <si>
    <t>Transformed Dataset (Smoothing by Bin Boundaries — each value replaced by nearest bin edge)</t>
  </si>
  <si>
    <t>Original Value</t>
  </si>
  <si>
    <t>Assigned Bin</t>
  </si>
  <si>
    <t>Nearest Lower Edge Dist</t>
  </si>
  <si>
    <t>Nearest Upper Edge Dist</t>
  </si>
  <si>
    <t>Transformed Value</t>
  </si>
  <si>
    <t>Q5: Standardization of Insurance Claim Amounts</t>
  </si>
  <si>
    <t>Claim Amount (₹ '000)</t>
  </si>
  <si>
    <t>Claims Above One Standard Deviation from the Mean (z &gt; 1, i.e. value &gt; mean + 1×SD)</t>
  </si>
  <si>
    <t>Upper Threshold (mean + 1 SD):</t>
  </si>
  <si>
    <t>Claim Amount</t>
  </si>
  <si>
    <t>Above 1 SD? (z&gt;1)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</si>
</sst>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charset val="1"/>
    </font>
    <font>
      <b/>
      <sz val="14"/>
      <name val="Arial"/>
      <charset val="1"/>
    </font>
    <font>
      <b/>
      <sz val="11"/>
      <name val="Arial"/>
      <charset val="1"/>
    </font>
    <font>
      <b/>
      <sz val="11"/>
      <color rgb="FFFFFFFF"/>
      <name val="Arial"/>
      <charset val="1"/>
    </font>
    <font>
      <sz val="11"/>
      <name val="Arial"/>
      <charset val="1"/>
    </font>
  </fonts>
  <fills count="5">
    <fill>
      <patternFill patternType="none"/>
    </fill>
    <fill>
      <patternFill patternType="gray125"/>
    </fill>
    <fill>
      <patternFill patternType="solid">
        <fgColor rgb="FF4472C4"/>
        <bgColor rgb="FF666699"/>
      </patternFill>
    </fill>
    <fill>
      <patternFill patternType="solid">
        <fgColor rgb="FFFFEB9C"/>
        <bgColor rgb="FFFFFFCC"/>
      </patternFill>
    </fill>
    <fill>
      <patternFill patternType="solid">
        <fgColor rgb="FFFFC7CE"/>
        <bgColor rgb="FFFFEB9C"/>
      </patternFill>
    </fill>
  </fills>
  <borders count="2">
    <border>
      <left/>
      <right/>
      <top/>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13">
    <xf numFmtId="0" fontId="0" fillId="0" borderId="0" xfId="0"/>
    <xf numFmtId="0" fontId="4" fillId="0" borderId="0" xfId="0" applyFont="1"/>
    <xf numFmtId="0" fontId="4" fillId="0" borderId="0" xfId="0" applyFont="1" applyAlignment="1">
      <alignment vertical="top" wrapText="1"/>
    </xf>
    <xf numFmtId="0" fontId="2" fillId="0" borderId="0" xfId="0" applyFont="1"/>
    <xf numFmtId="0" fontId="1" fillId="0" borderId="0" xfId="0" applyFont="1"/>
    <xf numFmtId="0" fontId="2" fillId="0" borderId="0" xfId="0" applyFont="1"/>
    <xf numFmtId="0" fontId="3" fillId="2" borderId="1" xfId="0" applyFont="1" applyFill="1" applyBorder="1" applyAlignment="1">
      <alignment horizontal="center" vertical="center"/>
    </xf>
    <xf numFmtId="0" fontId="4" fillId="0" borderId="1" xfId="0" applyFont="1" applyBorder="1"/>
    <xf numFmtId="0" fontId="4" fillId="0" borderId="1" xfId="0" applyFont="1" applyBorder="1" applyAlignment="1">
      <alignment horizontal="center"/>
    </xf>
    <xf numFmtId="0" fontId="4" fillId="3" borderId="1" xfId="0" applyFont="1" applyFill="1" applyBorder="1" applyAlignment="1">
      <alignment horizontal="center"/>
    </xf>
    <xf numFmtId="0" fontId="4" fillId="0" borderId="0" xfId="0" applyFont="1"/>
    <xf numFmtId="0" fontId="4" fillId="4" borderId="1" xfId="0" applyFont="1" applyFill="1" applyBorder="1"/>
    <xf numFmtId="0" fontId="4" fillId="3" borderId="1" xfId="0" applyFont="1" applyFill="1" applyBorder="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0B0B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EB9C"/>
      <rgbColor rgb="FF99CCFF"/>
      <rgbColor rgb="FFFF99CC"/>
      <rgbColor rgb="FFCC99FF"/>
      <rgbColor rgb="FFFFC7CE"/>
      <rgbColor rgb="FF4472C4"/>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1"/>
  <sheetViews>
    <sheetView showGridLines="0" tabSelected="1" zoomScaleNormal="100" workbookViewId="0">
      <selection activeCell="A31" sqref="A31"/>
    </sheetView>
  </sheetViews>
  <sheetFormatPr defaultColWidth="8.7109375" defaultRowHeight="15" x14ac:dyDescent="0.25"/>
  <cols>
    <col min="1" max="1" width="30" customWidth="1"/>
    <col min="2" max="3" width="26" customWidth="1"/>
    <col min="4" max="4" width="18" customWidth="1"/>
  </cols>
  <sheetData>
    <row r="1" spans="1:4" ht="18" x14ac:dyDescent="0.25">
      <c r="A1" s="4" t="s">
        <v>0</v>
      </c>
      <c r="B1" s="4"/>
      <c r="C1" s="4"/>
      <c r="D1" s="4"/>
    </row>
    <row r="3" spans="1:4" x14ac:dyDescent="0.25">
      <c r="A3" s="3" t="s">
        <v>1</v>
      </c>
      <c r="B3" s="3"/>
      <c r="C3" s="3"/>
      <c r="D3" s="3"/>
    </row>
    <row r="4" spans="1:4" x14ac:dyDescent="0.25">
      <c r="A4" s="6" t="s">
        <v>2</v>
      </c>
      <c r="B4" s="6" t="s">
        <v>3</v>
      </c>
      <c r="C4" s="6" t="s">
        <v>4</v>
      </c>
      <c r="D4" s="6" t="s">
        <v>5</v>
      </c>
    </row>
    <row r="5" spans="1:4" x14ac:dyDescent="0.25">
      <c r="A5" s="7">
        <v>1</v>
      </c>
      <c r="B5" s="7" t="s">
        <v>6</v>
      </c>
      <c r="C5" s="7">
        <f t="shared" ref="C5:C14" si="0">COUNTIF($B$5:$B$14,B5)</f>
        <v>1</v>
      </c>
      <c r="D5" s="8" t="str">
        <f t="shared" ref="D5:D14" si="1">IF(C5&gt;1,"Yes","No")</f>
        <v>No</v>
      </c>
    </row>
    <row r="6" spans="1:4" x14ac:dyDescent="0.25">
      <c r="A6" s="7">
        <v>2</v>
      </c>
      <c r="B6" s="7" t="s">
        <v>7</v>
      </c>
      <c r="C6" s="7">
        <f t="shared" si="0"/>
        <v>1</v>
      </c>
      <c r="D6" s="8" t="str">
        <f t="shared" si="1"/>
        <v>No</v>
      </c>
    </row>
    <row r="7" spans="1:4" x14ac:dyDescent="0.25">
      <c r="A7" s="7">
        <v>3</v>
      </c>
      <c r="B7" s="7" t="s">
        <v>8</v>
      </c>
      <c r="C7" s="7">
        <f t="shared" si="0"/>
        <v>2</v>
      </c>
      <c r="D7" s="9" t="str">
        <f t="shared" si="1"/>
        <v>Yes</v>
      </c>
    </row>
    <row r="8" spans="1:4" x14ac:dyDescent="0.25">
      <c r="A8" s="7">
        <v>4</v>
      </c>
      <c r="B8" s="7" t="s">
        <v>9</v>
      </c>
      <c r="C8" s="7">
        <f t="shared" si="0"/>
        <v>2</v>
      </c>
      <c r="D8" s="9" t="str">
        <f t="shared" si="1"/>
        <v>Yes</v>
      </c>
    </row>
    <row r="9" spans="1:4" x14ac:dyDescent="0.25">
      <c r="A9" s="7">
        <v>5</v>
      </c>
      <c r="B9" s="7" t="s">
        <v>8</v>
      </c>
      <c r="C9" s="7">
        <f t="shared" si="0"/>
        <v>2</v>
      </c>
      <c r="D9" s="9" t="str">
        <f t="shared" si="1"/>
        <v>Yes</v>
      </c>
    </row>
    <row r="10" spans="1:4" x14ac:dyDescent="0.25">
      <c r="A10" s="7">
        <v>6</v>
      </c>
      <c r="B10" s="7" t="s">
        <v>10</v>
      </c>
      <c r="C10" s="7">
        <f t="shared" si="0"/>
        <v>1</v>
      </c>
      <c r="D10" s="8" t="str">
        <f t="shared" si="1"/>
        <v>No</v>
      </c>
    </row>
    <row r="11" spans="1:4" x14ac:dyDescent="0.25">
      <c r="A11" s="7">
        <v>7</v>
      </c>
      <c r="B11" s="7" t="s">
        <v>11</v>
      </c>
      <c r="C11" s="7">
        <f t="shared" si="0"/>
        <v>1</v>
      </c>
      <c r="D11" s="8" t="str">
        <f t="shared" si="1"/>
        <v>No</v>
      </c>
    </row>
    <row r="12" spans="1:4" x14ac:dyDescent="0.25">
      <c r="A12" s="7">
        <v>8</v>
      </c>
      <c r="B12" s="7" t="s">
        <v>9</v>
      </c>
      <c r="C12" s="7">
        <f t="shared" si="0"/>
        <v>2</v>
      </c>
      <c r="D12" s="9" t="str">
        <f t="shared" si="1"/>
        <v>Yes</v>
      </c>
    </row>
    <row r="13" spans="1:4" x14ac:dyDescent="0.25">
      <c r="A13" s="7">
        <v>9</v>
      </c>
      <c r="B13" s="7" t="s">
        <v>12</v>
      </c>
      <c r="C13" s="7">
        <f t="shared" si="0"/>
        <v>1</v>
      </c>
      <c r="D13" s="8" t="str">
        <f t="shared" si="1"/>
        <v>No</v>
      </c>
    </row>
    <row r="14" spans="1:4" x14ac:dyDescent="0.25">
      <c r="A14" s="7">
        <v>10</v>
      </c>
      <c r="B14" s="7" t="s">
        <v>13</v>
      </c>
      <c r="C14" s="7">
        <f t="shared" si="0"/>
        <v>1</v>
      </c>
      <c r="D14" s="8" t="str">
        <f t="shared" si="1"/>
        <v>No</v>
      </c>
    </row>
    <row r="16" spans="1:4" x14ac:dyDescent="0.25">
      <c r="A16" s="3" t="s">
        <v>14</v>
      </c>
      <c r="B16" s="3"/>
      <c r="C16" s="3"/>
      <c r="D16" s="3"/>
    </row>
    <row r="17" spans="1:4" x14ac:dyDescent="0.25">
      <c r="A17" s="6" t="s">
        <v>2</v>
      </c>
      <c r="B17" s="6" t="s">
        <v>15</v>
      </c>
    </row>
    <row r="18" spans="1:4" x14ac:dyDescent="0.25">
      <c r="A18" s="7">
        <v>1</v>
      </c>
      <c r="B18" s="7" t="s">
        <v>6</v>
      </c>
    </row>
    <row r="19" spans="1:4" x14ac:dyDescent="0.25">
      <c r="A19" s="7">
        <v>2</v>
      </c>
      <c r="B19" s="7" t="s">
        <v>7</v>
      </c>
    </row>
    <row r="20" spans="1:4" x14ac:dyDescent="0.25">
      <c r="A20" s="7">
        <v>3</v>
      </c>
      <c r="B20" s="7" t="s">
        <v>8</v>
      </c>
    </row>
    <row r="21" spans="1:4" x14ac:dyDescent="0.25">
      <c r="A21" s="7">
        <v>4</v>
      </c>
      <c r="B21" s="7" t="s">
        <v>9</v>
      </c>
    </row>
    <row r="22" spans="1:4" x14ac:dyDescent="0.25">
      <c r="A22" s="7">
        <v>5</v>
      </c>
      <c r="B22" s="7" t="s">
        <v>10</v>
      </c>
    </row>
    <row r="23" spans="1:4" x14ac:dyDescent="0.25">
      <c r="A23" s="7">
        <v>6</v>
      </c>
      <c r="B23" s="7" t="s">
        <v>11</v>
      </c>
    </row>
    <row r="24" spans="1:4" x14ac:dyDescent="0.25">
      <c r="A24" s="7">
        <v>7</v>
      </c>
      <c r="B24" s="7" t="s">
        <v>12</v>
      </c>
    </row>
    <row r="25" spans="1:4" x14ac:dyDescent="0.25">
      <c r="A25" s="7">
        <v>8</v>
      </c>
      <c r="B25" s="7" t="s">
        <v>13</v>
      </c>
    </row>
    <row r="27" spans="1:4" x14ac:dyDescent="0.25">
      <c r="A27" s="3" t="s">
        <v>16</v>
      </c>
      <c r="B27" s="3"/>
      <c r="C27" s="3"/>
      <c r="D27" s="3"/>
    </row>
    <row r="28" spans="1:4" x14ac:dyDescent="0.25">
      <c r="A28" s="10" t="s">
        <v>17</v>
      </c>
      <c r="B28" s="5">
        <f>COUNTA(B5:B14)</f>
        <v>10</v>
      </c>
    </row>
    <row r="29" spans="1:4" x14ac:dyDescent="0.25">
      <c r="A29" s="10" t="s">
        <v>18</v>
      </c>
      <c r="B29" s="5" t="str">
        <f>"P105, P103"</f>
        <v>P105, P103</v>
      </c>
    </row>
    <row r="30" spans="1:4" x14ac:dyDescent="0.25">
      <c r="A30" s="10" t="s">
        <v>19</v>
      </c>
      <c r="B30" s="5">
        <f>COUNTA(B5:B14)-COUNTA(B18:B25)</f>
        <v>2</v>
      </c>
    </row>
    <row r="31" spans="1:4" x14ac:dyDescent="0.25">
      <c r="A31" s="10" t="s">
        <v>20</v>
      </c>
      <c r="B31" s="5">
        <f>COUNTA(B18:B25)</f>
        <v>8</v>
      </c>
    </row>
  </sheetData>
  <mergeCells count="4">
    <mergeCell ref="A1:D1"/>
    <mergeCell ref="A3:D3"/>
    <mergeCell ref="A16:D16"/>
    <mergeCell ref="A27:D27"/>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1"/>
  <sheetViews>
    <sheetView showGridLines="0" zoomScaleNormal="100" workbookViewId="0"/>
  </sheetViews>
  <sheetFormatPr defaultColWidth="8.7109375" defaultRowHeight="15" x14ac:dyDescent="0.25"/>
  <cols>
    <col min="1" max="1" width="16" customWidth="1"/>
    <col min="2" max="2" width="22" customWidth="1"/>
    <col min="3" max="3" width="18" customWidth="1"/>
    <col min="4" max="5" width="16" customWidth="1"/>
    <col min="6" max="6" width="24" customWidth="1"/>
  </cols>
  <sheetData>
    <row r="1" spans="1:6" ht="18" x14ac:dyDescent="0.25">
      <c r="A1" s="4" t="s">
        <v>21</v>
      </c>
      <c r="B1" s="4"/>
      <c r="C1" s="4"/>
      <c r="D1" s="4"/>
      <c r="E1" s="4"/>
      <c r="F1" s="4"/>
    </row>
    <row r="3" spans="1:6" x14ac:dyDescent="0.25">
      <c r="A3" s="6" t="s">
        <v>2</v>
      </c>
      <c r="B3" s="6" t="s">
        <v>22</v>
      </c>
      <c r="C3" s="6" t="s">
        <v>23</v>
      </c>
      <c r="D3" s="6" t="s">
        <v>24</v>
      </c>
      <c r="E3" s="6" t="s">
        <v>25</v>
      </c>
      <c r="F3" s="6" t="s">
        <v>26</v>
      </c>
    </row>
    <row r="4" spans="1:6" x14ac:dyDescent="0.25">
      <c r="A4" s="7">
        <v>1</v>
      </c>
      <c r="B4" s="7">
        <v>20</v>
      </c>
      <c r="C4" s="7">
        <v>3</v>
      </c>
      <c r="D4" s="7">
        <f>B4-$B$10</f>
        <v>-10</v>
      </c>
      <c r="E4" s="7">
        <f>C4-$C$10</f>
        <v>-2.2000000000000002</v>
      </c>
      <c r="F4" s="7">
        <f>D4*E4</f>
        <v>22</v>
      </c>
    </row>
    <row r="5" spans="1:6" x14ac:dyDescent="0.25">
      <c r="A5" s="7">
        <v>2</v>
      </c>
      <c r="B5" s="7">
        <v>25</v>
      </c>
      <c r="C5" s="7">
        <v>4</v>
      </c>
      <c r="D5" s="7">
        <f>B5-$B$10</f>
        <v>-5</v>
      </c>
      <c r="E5" s="7">
        <f>C5-$C$10</f>
        <v>-1.2000000000000002</v>
      </c>
      <c r="F5" s="7">
        <f>D5*E5</f>
        <v>6.0000000000000009</v>
      </c>
    </row>
    <row r="6" spans="1:6" x14ac:dyDescent="0.25">
      <c r="A6" s="7">
        <v>3</v>
      </c>
      <c r="B6" s="7">
        <v>30</v>
      </c>
      <c r="C6" s="7">
        <v>5</v>
      </c>
      <c r="D6" s="7">
        <f>B6-$B$10</f>
        <v>0</v>
      </c>
      <c r="E6" s="7">
        <f>C6-$C$10</f>
        <v>-0.20000000000000018</v>
      </c>
      <c r="F6" s="7">
        <f>D6*E6</f>
        <v>0</v>
      </c>
    </row>
    <row r="7" spans="1:6" x14ac:dyDescent="0.25">
      <c r="A7" s="7">
        <v>4</v>
      </c>
      <c r="B7" s="7">
        <v>35</v>
      </c>
      <c r="C7" s="7">
        <v>6</v>
      </c>
      <c r="D7" s="7">
        <f>B7-$B$10</f>
        <v>5</v>
      </c>
      <c r="E7" s="7">
        <f>C7-$C$10</f>
        <v>0.79999999999999982</v>
      </c>
      <c r="F7" s="7">
        <f>D7*E7</f>
        <v>3.9999999999999991</v>
      </c>
    </row>
    <row r="8" spans="1:6" x14ac:dyDescent="0.25">
      <c r="A8" s="7">
        <v>5</v>
      </c>
      <c r="B8" s="7">
        <v>40</v>
      </c>
      <c r="C8" s="7">
        <v>8</v>
      </c>
      <c r="D8" s="7">
        <f>B8-$B$10</f>
        <v>10</v>
      </c>
      <c r="E8" s="7">
        <f>C8-$C$10</f>
        <v>2.8</v>
      </c>
      <c r="F8" s="7">
        <f>D8*E8</f>
        <v>28</v>
      </c>
    </row>
    <row r="9" spans="1:6" x14ac:dyDescent="0.25">
      <c r="B9" s="5" t="s">
        <v>27</v>
      </c>
      <c r="F9" s="5">
        <f>SUM(F4:F8)</f>
        <v>60</v>
      </c>
    </row>
    <row r="10" spans="1:6" x14ac:dyDescent="0.25">
      <c r="A10" s="5" t="s">
        <v>28</v>
      </c>
      <c r="B10" s="5">
        <f>AVERAGE(B4:B8)</f>
        <v>30</v>
      </c>
      <c r="C10" s="5">
        <f>AVERAGE(C4:C8)</f>
        <v>5.2</v>
      </c>
    </row>
    <row r="12" spans="1:6" x14ac:dyDescent="0.25">
      <c r="A12" s="5" t="s">
        <v>29</v>
      </c>
    </row>
    <row r="13" spans="1:6" x14ac:dyDescent="0.25">
      <c r="A13" s="10" t="s">
        <v>30</v>
      </c>
      <c r="F13" s="5">
        <f>F9/COUNT(B4:B8)</f>
        <v>12</v>
      </c>
    </row>
    <row r="14" spans="1:6" x14ac:dyDescent="0.25">
      <c r="A14" s="10" t="s">
        <v>31</v>
      </c>
      <c r="F14" s="5">
        <f>F9/(COUNT(B4:B8)-1)</f>
        <v>15</v>
      </c>
    </row>
    <row r="16" spans="1:6" x14ac:dyDescent="0.25">
      <c r="A16" s="5" t="s">
        <v>32</v>
      </c>
    </row>
    <row r="17" spans="1:6" ht="15" customHeight="1" x14ac:dyDescent="0.25">
      <c r="A17" s="2" t="s">
        <v>33</v>
      </c>
      <c r="B17" s="2"/>
      <c r="C17" s="2"/>
      <c r="D17" s="2"/>
      <c r="E17" s="2"/>
      <c r="F17" s="2"/>
    </row>
    <row r="18" spans="1:6" x14ac:dyDescent="0.25">
      <c r="A18" s="2"/>
      <c r="B18" s="2"/>
      <c r="C18" s="2"/>
      <c r="D18" s="2"/>
      <c r="E18" s="2"/>
      <c r="F18" s="2"/>
    </row>
    <row r="19" spans="1:6" x14ac:dyDescent="0.25">
      <c r="A19" s="2"/>
      <c r="B19" s="2"/>
      <c r="C19" s="2"/>
      <c r="D19" s="2"/>
      <c r="E19" s="2"/>
      <c r="F19" s="2"/>
    </row>
    <row r="20" spans="1:6" x14ac:dyDescent="0.25">
      <c r="A20" s="2"/>
      <c r="B20" s="2"/>
      <c r="C20" s="2"/>
      <c r="D20" s="2"/>
      <c r="E20" s="2"/>
      <c r="F20" s="2"/>
    </row>
    <row r="21" spans="1:6" x14ac:dyDescent="0.25">
      <c r="A21" s="2"/>
      <c r="B21" s="2"/>
      <c r="C21" s="2"/>
      <c r="D21" s="2"/>
      <c r="E21" s="2"/>
      <c r="F21" s="2"/>
    </row>
  </sheetData>
  <mergeCells count="2">
    <mergeCell ref="A1:F1"/>
    <mergeCell ref="A17:F21"/>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3"/>
  <sheetViews>
    <sheetView showGridLines="0" zoomScaleNormal="100" workbookViewId="0"/>
  </sheetViews>
  <sheetFormatPr defaultColWidth="8.7109375" defaultRowHeight="15" x14ac:dyDescent="0.25"/>
  <cols>
    <col min="1" max="1" width="26" customWidth="1"/>
    <col min="2" max="2" width="20" customWidth="1"/>
    <col min="3" max="3" width="14" customWidth="1"/>
    <col min="4" max="4" width="16" customWidth="1"/>
    <col min="5" max="5" width="22" customWidth="1"/>
  </cols>
  <sheetData>
    <row r="1" spans="1:5" ht="18" x14ac:dyDescent="0.25">
      <c r="A1" s="4" t="s">
        <v>34</v>
      </c>
      <c r="B1" s="4"/>
      <c r="C1" s="4"/>
      <c r="D1" s="4"/>
      <c r="E1" s="4"/>
    </row>
    <row r="3" spans="1:5" x14ac:dyDescent="0.25">
      <c r="A3" s="6" t="s">
        <v>2</v>
      </c>
      <c r="B3" s="6" t="s">
        <v>35</v>
      </c>
      <c r="C3" s="6" t="s">
        <v>36</v>
      </c>
      <c r="D3" s="6" t="s">
        <v>37</v>
      </c>
      <c r="E3" s="6" t="s">
        <v>38</v>
      </c>
    </row>
    <row r="4" spans="1:5" x14ac:dyDescent="0.25">
      <c r="A4" s="7">
        <v>1</v>
      </c>
      <c r="B4" s="7">
        <v>8</v>
      </c>
      <c r="C4" s="7">
        <f t="shared" ref="C4:C14" si="0">B4-$B$16</f>
        <v>-5.545454545454545</v>
      </c>
      <c r="D4" s="7">
        <f t="shared" ref="D4:D14" si="1">C4^2</f>
        <v>30.752066115702473</v>
      </c>
      <c r="E4" s="7">
        <f t="shared" ref="E4:E14" si="2">C4/$B$17</f>
        <v>-0.7837277068733528</v>
      </c>
    </row>
    <row r="5" spans="1:5" x14ac:dyDescent="0.25">
      <c r="A5" s="7">
        <v>2</v>
      </c>
      <c r="B5" s="7">
        <v>9</v>
      </c>
      <c r="C5" s="7">
        <f t="shared" si="0"/>
        <v>-4.545454545454545</v>
      </c>
      <c r="D5" s="7">
        <f t="shared" si="1"/>
        <v>20.661157024793383</v>
      </c>
      <c r="E5" s="7">
        <f t="shared" si="2"/>
        <v>-0.64239975973225638</v>
      </c>
    </row>
    <row r="6" spans="1:5" x14ac:dyDescent="0.25">
      <c r="A6" s="7">
        <v>3</v>
      </c>
      <c r="B6" s="7">
        <v>10</v>
      </c>
      <c r="C6" s="7">
        <f t="shared" si="0"/>
        <v>-3.545454545454545</v>
      </c>
      <c r="D6" s="7">
        <f t="shared" si="1"/>
        <v>12.570247933884295</v>
      </c>
      <c r="E6" s="7">
        <f t="shared" si="2"/>
        <v>-0.50107181259115996</v>
      </c>
    </row>
    <row r="7" spans="1:5" x14ac:dyDescent="0.25">
      <c r="A7" s="7">
        <v>4</v>
      </c>
      <c r="B7" s="7">
        <v>10</v>
      </c>
      <c r="C7" s="7">
        <f t="shared" si="0"/>
        <v>-3.545454545454545</v>
      </c>
      <c r="D7" s="7">
        <f t="shared" si="1"/>
        <v>12.570247933884295</v>
      </c>
      <c r="E7" s="7">
        <f t="shared" si="2"/>
        <v>-0.50107181259115996</v>
      </c>
    </row>
    <row r="8" spans="1:5" x14ac:dyDescent="0.25">
      <c r="A8" s="7">
        <v>5</v>
      </c>
      <c r="B8" s="7">
        <v>11</v>
      </c>
      <c r="C8" s="7">
        <f t="shared" si="0"/>
        <v>-2.545454545454545</v>
      </c>
      <c r="D8" s="7">
        <f t="shared" si="1"/>
        <v>6.4793388429752046</v>
      </c>
      <c r="E8" s="7">
        <f t="shared" si="2"/>
        <v>-0.35974386545006354</v>
      </c>
    </row>
    <row r="9" spans="1:5" x14ac:dyDescent="0.25">
      <c r="A9" s="7">
        <v>6</v>
      </c>
      <c r="B9" s="7">
        <v>12</v>
      </c>
      <c r="C9" s="7">
        <f t="shared" si="0"/>
        <v>-1.545454545454545</v>
      </c>
      <c r="D9" s="7">
        <f t="shared" si="1"/>
        <v>2.3884297520661142</v>
      </c>
      <c r="E9" s="7">
        <f t="shared" si="2"/>
        <v>-0.21841591830896712</v>
      </c>
    </row>
    <row r="10" spans="1:5" x14ac:dyDescent="0.25">
      <c r="A10" s="7">
        <v>7</v>
      </c>
      <c r="B10" s="7">
        <v>12</v>
      </c>
      <c r="C10" s="7">
        <f t="shared" si="0"/>
        <v>-1.545454545454545</v>
      </c>
      <c r="D10" s="7">
        <f t="shared" si="1"/>
        <v>2.3884297520661142</v>
      </c>
      <c r="E10" s="7">
        <f t="shared" si="2"/>
        <v>-0.21841591830896712</v>
      </c>
    </row>
    <row r="11" spans="1:5" x14ac:dyDescent="0.25">
      <c r="A11" s="7">
        <v>8</v>
      </c>
      <c r="B11" s="7">
        <v>13</v>
      </c>
      <c r="C11" s="7">
        <f t="shared" si="0"/>
        <v>-0.54545454545454497</v>
      </c>
      <c r="D11" s="7">
        <f t="shared" si="1"/>
        <v>0.29752066115702425</v>
      </c>
      <c r="E11" s="7">
        <f t="shared" si="2"/>
        <v>-7.7087971167870695E-2</v>
      </c>
    </row>
    <row r="12" spans="1:5" x14ac:dyDescent="0.25">
      <c r="A12" s="7">
        <v>9</v>
      </c>
      <c r="B12" s="7">
        <v>14</v>
      </c>
      <c r="C12" s="7">
        <f t="shared" si="0"/>
        <v>0.45454545454545503</v>
      </c>
      <c r="D12" s="7">
        <f t="shared" si="1"/>
        <v>0.20661157024793433</v>
      </c>
      <c r="E12" s="7">
        <f t="shared" si="2"/>
        <v>6.4239975973225713E-2</v>
      </c>
    </row>
    <row r="13" spans="1:5" x14ac:dyDescent="0.25">
      <c r="A13" s="7">
        <v>10</v>
      </c>
      <c r="B13" s="7">
        <v>15</v>
      </c>
      <c r="C13" s="7">
        <f t="shared" si="0"/>
        <v>1.454545454545455</v>
      </c>
      <c r="D13" s="7">
        <f t="shared" si="1"/>
        <v>2.1157024793388444</v>
      </c>
      <c r="E13" s="7">
        <f t="shared" si="2"/>
        <v>0.20556792311432212</v>
      </c>
    </row>
    <row r="14" spans="1:5" x14ac:dyDescent="0.25">
      <c r="A14" s="11">
        <v>11</v>
      </c>
      <c r="B14" s="11">
        <v>35</v>
      </c>
      <c r="C14" s="11">
        <f t="shared" si="0"/>
        <v>21.454545454545453</v>
      </c>
      <c r="D14" s="11">
        <f t="shared" si="1"/>
        <v>460.29752066115697</v>
      </c>
      <c r="E14" s="11">
        <f t="shared" si="2"/>
        <v>3.0321268659362501</v>
      </c>
    </row>
    <row r="15" spans="1:5" x14ac:dyDescent="0.25">
      <c r="B15" s="5" t="s">
        <v>39</v>
      </c>
      <c r="D15" s="5">
        <f>SUM(D4:D14)</f>
        <v>550.72727272727263</v>
      </c>
    </row>
    <row r="16" spans="1:5" x14ac:dyDescent="0.25">
      <c r="A16" s="5" t="s">
        <v>40</v>
      </c>
      <c r="B16" s="5">
        <f>AVERAGE(B4:B14)</f>
        <v>13.545454545454545</v>
      </c>
    </row>
    <row r="17" spans="1:5" x14ac:dyDescent="0.25">
      <c r="A17" s="5" t="s">
        <v>41</v>
      </c>
      <c r="B17" s="5">
        <f>STDEVP(B4:B14)</f>
        <v>7.0757413535600167</v>
      </c>
    </row>
    <row r="19" spans="1:5" x14ac:dyDescent="0.25">
      <c r="A19" s="3" t="s">
        <v>42</v>
      </c>
      <c r="B19" s="3"/>
      <c r="C19" s="3"/>
      <c r="D19" s="3"/>
      <c r="E19" s="3"/>
    </row>
    <row r="20" spans="1:5" x14ac:dyDescent="0.25">
      <c r="A20" s="6" t="s">
        <v>43</v>
      </c>
      <c r="B20" s="6" t="s">
        <v>44</v>
      </c>
      <c r="C20" s="6" t="s">
        <v>45</v>
      </c>
    </row>
    <row r="21" spans="1:5" x14ac:dyDescent="0.25">
      <c r="A21" s="7">
        <v>35</v>
      </c>
      <c r="B21" s="7">
        <f>E14</f>
        <v>3.0321268659362501</v>
      </c>
      <c r="C21" s="11" t="str">
        <f>IF(ABS(E14)&gt;3,"Yes - Outlier","No")</f>
        <v>Yes - Outlier</v>
      </c>
    </row>
    <row r="23" spans="1:5" x14ac:dyDescent="0.25">
      <c r="A23" s="1" t="s">
        <v>46</v>
      </c>
      <c r="B23" s="1"/>
      <c r="C23" s="1"/>
      <c r="D23" s="1"/>
      <c r="E23" s="1"/>
    </row>
  </sheetData>
  <mergeCells count="3">
    <mergeCell ref="A1:E1"/>
    <mergeCell ref="A19:E19"/>
    <mergeCell ref="A23:E23"/>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9"/>
  <sheetViews>
    <sheetView showGridLines="0" zoomScaleNormal="100" workbookViewId="0"/>
  </sheetViews>
  <sheetFormatPr defaultColWidth="8.7109375" defaultRowHeight="15" x14ac:dyDescent="0.25"/>
  <cols>
    <col min="1" max="1" width="10" customWidth="1"/>
    <col min="2" max="2" width="16" customWidth="1"/>
    <col min="3" max="3" width="14" customWidth="1"/>
    <col min="4" max="5" width="22" customWidth="1"/>
    <col min="6" max="6" width="18" customWidth="1"/>
  </cols>
  <sheetData>
    <row r="1" spans="1:5" ht="18" x14ac:dyDescent="0.25">
      <c r="A1" s="4" t="s">
        <v>47</v>
      </c>
      <c r="B1" s="4"/>
      <c r="C1" s="4"/>
      <c r="D1" s="4"/>
      <c r="E1" s="4"/>
    </row>
    <row r="3" spans="1:5" x14ac:dyDescent="0.25">
      <c r="A3" s="5" t="s">
        <v>48</v>
      </c>
    </row>
    <row r="4" spans="1:5" x14ac:dyDescent="0.25">
      <c r="A4" s="10" t="s">
        <v>49</v>
      </c>
      <c r="B4" s="5">
        <v>75</v>
      </c>
    </row>
    <row r="5" spans="1:5" x14ac:dyDescent="0.25">
      <c r="A5" s="10" t="s">
        <v>50</v>
      </c>
      <c r="B5" s="5">
        <v>145</v>
      </c>
    </row>
    <row r="6" spans="1:5" x14ac:dyDescent="0.25">
      <c r="A6" s="10" t="s">
        <v>51</v>
      </c>
      <c r="B6" s="5">
        <f>B5-B4</f>
        <v>70</v>
      </c>
    </row>
    <row r="7" spans="1:5" x14ac:dyDescent="0.25">
      <c r="A7" s="10" t="s">
        <v>52</v>
      </c>
      <c r="B7" s="5">
        <v>3</v>
      </c>
    </row>
    <row r="8" spans="1:5" x14ac:dyDescent="0.25">
      <c r="A8" s="10" t="s">
        <v>53</v>
      </c>
      <c r="B8" s="5">
        <f>B6/B7</f>
        <v>23.333333333333332</v>
      </c>
    </row>
    <row r="10" spans="1:5" x14ac:dyDescent="0.25">
      <c r="A10" s="5" t="s">
        <v>54</v>
      </c>
    </row>
    <row r="11" spans="1:5" x14ac:dyDescent="0.25">
      <c r="A11" s="6" t="s">
        <v>55</v>
      </c>
      <c r="B11" s="6" t="s">
        <v>56</v>
      </c>
      <c r="C11" s="6" t="s">
        <v>57</v>
      </c>
    </row>
    <row r="12" spans="1:5" x14ac:dyDescent="0.25">
      <c r="A12" s="7" t="s">
        <v>58</v>
      </c>
      <c r="B12" s="7">
        <f>$B$4</f>
        <v>75</v>
      </c>
      <c r="C12" s="7">
        <f>$B$4+$B$8</f>
        <v>98.333333333333329</v>
      </c>
    </row>
    <row r="13" spans="1:5" x14ac:dyDescent="0.25">
      <c r="A13" s="7" t="s">
        <v>59</v>
      </c>
      <c r="B13" s="7">
        <f>C12</f>
        <v>98.333333333333329</v>
      </c>
      <c r="C13" s="7">
        <f>C12+$B$8</f>
        <v>121.66666666666666</v>
      </c>
    </row>
    <row r="14" spans="1:5" x14ac:dyDescent="0.25">
      <c r="A14" s="7" t="s">
        <v>60</v>
      </c>
      <c r="B14" s="7">
        <f>C13</f>
        <v>121.66666666666666</v>
      </c>
      <c r="C14" s="7">
        <f>C13+$B$8</f>
        <v>145</v>
      </c>
    </row>
    <row r="16" spans="1:5" x14ac:dyDescent="0.25">
      <c r="A16" s="3" t="s">
        <v>61</v>
      </c>
      <c r="B16" s="3"/>
      <c r="C16" s="3"/>
      <c r="D16" s="3"/>
      <c r="E16" s="3"/>
    </row>
    <row r="17" spans="1:6" x14ac:dyDescent="0.25">
      <c r="A17" s="6" t="s">
        <v>2</v>
      </c>
      <c r="B17" s="6" t="s">
        <v>62</v>
      </c>
      <c r="C17" s="6" t="s">
        <v>63</v>
      </c>
      <c r="D17" s="6" t="s">
        <v>64</v>
      </c>
      <c r="E17" s="6" t="s">
        <v>65</v>
      </c>
      <c r="F17" s="6" t="s">
        <v>66</v>
      </c>
    </row>
    <row r="18" spans="1:6" x14ac:dyDescent="0.25">
      <c r="A18" s="7">
        <v>1</v>
      </c>
      <c r="B18" s="7">
        <v>75</v>
      </c>
      <c r="C18" s="7" t="str">
        <f t="shared" ref="C18:C29" si="0">IF(B18&lt;=$C$12,"Bin 1",IF(B18&lt;=$C$13,"Bin 2","Bin 3"))</f>
        <v>Bin 1</v>
      </c>
      <c r="D18" s="7">
        <f t="shared" ref="D18:D29" si="1">ABS(B18-IF(C18="Bin 1",$B$12,IF(C18="Bin 2",$B$13,$B$14)))</f>
        <v>0</v>
      </c>
      <c r="E18" s="7">
        <f t="shared" ref="E18:E29" si="2">ABS(B18-IF(C18="Bin 1",$C$12,IF(C18="Bin 2",$C$13,$C$14)))</f>
        <v>23.333333333333329</v>
      </c>
      <c r="F18" s="7">
        <f t="shared" ref="F18:F29" si="3">IF(D18&lt;=E18,IF(C18="Bin 1",$B$12,IF(C18="Bin 2",$B$13,$B$14)),IF(C18="Bin 1",$C$12,IF(C18="Bin 2",$C$13,$C$14)))</f>
        <v>75</v>
      </c>
    </row>
    <row r="19" spans="1:6" x14ac:dyDescent="0.25">
      <c r="A19" s="7">
        <v>2</v>
      </c>
      <c r="B19" s="7">
        <v>82</v>
      </c>
      <c r="C19" s="7" t="str">
        <f t="shared" si="0"/>
        <v>Bin 1</v>
      </c>
      <c r="D19" s="7">
        <f t="shared" si="1"/>
        <v>7</v>
      </c>
      <c r="E19" s="7">
        <f t="shared" si="2"/>
        <v>16.333333333333329</v>
      </c>
      <c r="F19" s="7">
        <f t="shared" si="3"/>
        <v>75</v>
      </c>
    </row>
    <row r="20" spans="1:6" x14ac:dyDescent="0.25">
      <c r="A20" s="7">
        <v>3</v>
      </c>
      <c r="B20" s="7">
        <v>88</v>
      </c>
      <c r="C20" s="7" t="str">
        <f t="shared" si="0"/>
        <v>Bin 1</v>
      </c>
      <c r="D20" s="7">
        <f t="shared" si="1"/>
        <v>13</v>
      </c>
      <c r="E20" s="7">
        <f t="shared" si="2"/>
        <v>10.333333333333329</v>
      </c>
      <c r="F20" s="7">
        <f t="shared" si="3"/>
        <v>98.333333333333329</v>
      </c>
    </row>
    <row r="21" spans="1:6" x14ac:dyDescent="0.25">
      <c r="A21" s="7">
        <v>4</v>
      </c>
      <c r="B21" s="7">
        <v>92</v>
      </c>
      <c r="C21" s="7" t="str">
        <f t="shared" si="0"/>
        <v>Bin 1</v>
      </c>
      <c r="D21" s="7">
        <f t="shared" si="1"/>
        <v>17</v>
      </c>
      <c r="E21" s="7">
        <f t="shared" si="2"/>
        <v>6.3333333333333286</v>
      </c>
      <c r="F21" s="7">
        <f t="shared" si="3"/>
        <v>98.333333333333329</v>
      </c>
    </row>
    <row r="22" spans="1:6" x14ac:dyDescent="0.25">
      <c r="A22" s="7">
        <v>5</v>
      </c>
      <c r="B22" s="7">
        <v>95</v>
      </c>
      <c r="C22" s="7" t="str">
        <f t="shared" si="0"/>
        <v>Bin 1</v>
      </c>
      <c r="D22" s="7">
        <f t="shared" si="1"/>
        <v>20</v>
      </c>
      <c r="E22" s="7">
        <f t="shared" si="2"/>
        <v>3.3333333333333286</v>
      </c>
      <c r="F22" s="7">
        <f t="shared" si="3"/>
        <v>98.333333333333329</v>
      </c>
    </row>
    <row r="23" spans="1:6" x14ac:dyDescent="0.25">
      <c r="A23" s="7">
        <v>6</v>
      </c>
      <c r="B23" s="7">
        <v>99</v>
      </c>
      <c r="C23" s="7" t="str">
        <f t="shared" si="0"/>
        <v>Bin 2</v>
      </c>
      <c r="D23" s="7">
        <f t="shared" si="1"/>
        <v>0.6666666666666714</v>
      </c>
      <c r="E23" s="7">
        <f t="shared" si="2"/>
        <v>22.666666666666657</v>
      </c>
      <c r="F23" s="7">
        <f t="shared" si="3"/>
        <v>98.333333333333329</v>
      </c>
    </row>
    <row r="24" spans="1:6" x14ac:dyDescent="0.25">
      <c r="A24" s="7">
        <v>7</v>
      </c>
      <c r="B24" s="7">
        <v>104</v>
      </c>
      <c r="C24" s="7" t="str">
        <f t="shared" si="0"/>
        <v>Bin 2</v>
      </c>
      <c r="D24" s="7">
        <f t="shared" si="1"/>
        <v>5.6666666666666714</v>
      </c>
      <c r="E24" s="7">
        <f t="shared" si="2"/>
        <v>17.666666666666657</v>
      </c>
      <c r="F24" s="7">
        <f t="shared" si="3"/>
        <v>98.333333333333329</v>
      </c>
    </row>
    <row r="25" spans="1:6" x14ac:dyDescent="0.25">
      <c r="A25" s="7">
        <v>8</v>
      </c>
      <c r="B25" s="7">
        <v>110</v>
      </c>
      <c r="C25" s="7" t="str">
        <f t="shared" si="0"/>
        <v>Bin 2</v>
      </c>
      <c r="D25" s="7">
        <f t="shared" si="1"/>
        <v>11.666666666666671</v>
      </c>
      <c r="E25" s="7">
        <f t="shared" si="2"/>
        <v>11.666666666666657</v>
      </c>
      <c r="F25" s="7">
        <f t="shared" si="3"/>
        <v>98.333333333333329</v>
      </c>
    </row>
    <row r="26" spans="1:6" x14ac:dyDescent="0.25">
      <c r="A26" s="7">
        <v>9</v>
      </c>
      <c r="B26" s="7">
        <v>118</v>
      </c>
      <c r="C26" s="7" t="str">
        <f t="shared" si="0"/>
        <v>Bin 2</v>
      </c>
      <c r="D26" s="7">
        <f t="shared" si="1"/>
        <v>19.666666666666671</v>
      </c>
      <c r="E26" s="7">
        <f t="shared" si="2"/>
        <v>3.6666666666666572</v>
      </c>
      <c r="F26" s="7">
        <f t="shared" si="3"/>
        <v>121.66666666666666</v>
      </c>
    </row>
    <row r="27" spans="1:6" x14ac:dyDescent="0.25">
      <c r="A27" s="7">
        <v>10</v>
      </c>
      <c r="B27" s="7">
        <v>122</v>
      </c>
      <c r="C27" s="7" t="str">
        <f t="shared" si="0"/>
        <v>Bin 3</v>
      </c>
      <c r="D27" s="7">
        <f t="shared" si="1"/>
        <v>0.33333333333334281</v>
      </c>
      <c r="E27" s="7">
        <f t="shared" si="2"/>
        <v>23</v>
      </c>
      <c r="F27" s="7">
        <f t="shared" si="3"/>
        <v>121.66666666666666</v>
      </c>
    </row>
    <row r="28" spans="1:6" x14ac:dyDescent="0.25">
      <c r="A28" s="7">
        <v>11</v>
      </c>
      <c r="B28" s="7">
        <v>130</v>
      </c>
      <c r="C28" s="7" t="str">
        <f t="shared" si="0"/>
        <v>Bin 3</v>
      </c>
      <c r="D28" s="7">
        <f t="shared" si="1"/>
        <v>8.3333333333333428</v>
      </c>
      <c r="E28" s="7">
        <f t="shared" si="2"/>
        <v>15</v>
      </c>
      <c r="F28" s="7">
        <f t="shared" si="3"/>
        <v>121.66666666666666</v>
      </c>
    </row>
    <row r="29" spans="1:6" x14ac:dyDescent="0.25">
      <c r="A29" s="7">
        <v>12</v>
      </c>
      <c r="B29" s="7">
        <v>145</v>
      </c>
      <c r="C29" s="7" t="str">
        <f t="shared" si="0"/>
        <v>Bin 3</v>
      </c>
      <c r="D29" s="7">
        <f t="shared" si="1"/>
        <v>23.333333333333343</v>
      </c>
      <c r="E29" s="7">
        <f t="shared" si="2"/>
        <v>0</v>
      </c>
      <c r="F29" s="7">
        <f t="shared" si="3"/>
        <v>145</v>
      </c>
    </row>
  </sheetData>
  <mergeCells count="2">
    <mergeCell ref="A1:E1"/>
    <mergeCell ref="A16:E16"/>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31"/>
  <sheetViews>
    <sheetView showGridLines="0" topLeftCell="A16" zoomScaleNormal="100" workbookViewId="0">
      <selection activeCell="I5" sqref="I5"/>
    </sheetView>
  </sheetViews>
  <sheetFormatPr defaultColWidth="8.7109375" defaultRowHeight="15" x14ac:dyDescent="0.25"/>
  <cols>
    <col min="1" max="1" width="10" customWidth="1"/>
    <col min="2" max="2" width="20" customWidth="1"/>
    <col min="3" max="3" width="14" customWidth="1"/>
    <col min="4" max="4" width="16" customWidth="1"/>
    <col min="5" max="5" width="20" customWidth="1"/>
  </cols>
  <sheetData>
    <row r="1" spans="1:5" ht="18" x14ac:dyDescent="0.25">
      <c r="A1" s="4" t="s">
        <v>67</v>
      </c>
      <c r="B1" s="4"/>
      <c r="C1" s="4"/>
      <c r="D1" s="4"/>
      <c r="E1" s="4"/>
    </row>
    <row r="3" spans="1:5" x14ac:dyDescent="0.25">
      <c r="A3" s="6" t="s">
        <v>2</v>
      </c>
      <c r="B3" s="6" t="s">
        <v>68</v>
      </c>
      <c r="C3" s="6" t="s">
        <v>36</v>
      </c>
      <c r="D3" s="6" t="s">
        <v>37</v>
      </c>
      <c r="E3" s="6" t="s">
        <v>38</v>
      </c>
    </row>
    <row r="4" spans="1:5" x14ac:dyDescent="0.25">
      <c r="A4" s="7">
        <v>1</v>
      </c>
      <c r="B4" s="7">
        <v>12</v>
      </c>
      <c r="C4" s="7">
        <f t="shared" ref="C4:C13" si="0">B4-$B$15</f>
        <v>-12.5</v>
      </c>
      <c r="D4" s="7">
        <f t="shared" ref="D4:D13" si="1">C4^2</f>
        <v>156.25</v>
      </c>
      <c r="E4" s="7">
        <f t="shared" ref="E4:E13" si="2">C4/$B$16</f>
        <v>-1.4850466133746625</v>
      </c>
    </row>
    <row r="5" spans="1:5" x14ac:dyDescent="0.25">
      <c r="A5" s="7">
        <v>2</v>
      </c>
      <c r="B5" s="7">
        <v>15</v>
      </c>
      <c r="C5" s="7">
        <f t="shared" si="0"/>
        <v>-9.5</v>
      </c>
      <c r="D5" s="7">
        <f t="shared" si="1"/>
        <v>90.25</v>
      </c>
      <c r="E5" s="7">
        <f t="shared" si="2"/>
        <v>-1.1286354261647435</v>
      </c>
    </row>
    <row r="6" spans="1:5" x14ac:dyDescent="0.25">
      <c r="A6" s="7">
        <v>3</v>
      </c>
      <c r="B6" s="7">
        <v>18</v>
      </c>
      <c r="C6" s="7">
        <f t="shared" si="0"/>
        <v>-6.5</v>
      </c>
      <c r="D6" s="7">
        <f t="shared" si="1"/>
        <v>42.25</v>
      </c>
      <c r="E6" s="7">
        <f t="shared" si="2"/>
        <v>-0.7722242389548245</v>
      </c>
    </row>
    <row r="7" spans="1:5" x14ac:dyDescent="0.25">
      <c r="A7" s="7">
        <v>4</v>
      </c>
      <c r="B7" s="7">
        <v>20</v>
      </c>
      <c r="C7" s="7">
        <f t="shared" si="0"/>
        <v>-4.5</v>
      </c>
      <c r="D7" s="7">
        <f t="shared" si="1"/>
        <v>20.25</v>
      </c>
      <c r="E7" s="7">
        <f t="shared" si="2"/>
        <v>-0.53461678081487851</v>
      </c>
    </row>
    <row r="8" spans="1:5" x14ac:dyDescent="0.25">
      <c r="A8" s="7">
        <v>5</v>
      </c>
      <c r="B8" s="7">
        <v>22</v>
      </c>
      <c r="C8" s="7">
        <f t="shared" si="0"/>
        <v>-2.5</v>
      </c>
      <c r="D8" s="7">
        <f t="shared" si="1"/>
        <v>6.25</v>
      </c>
      <c r="E8" s="7">
        <f t="shared" si="2"/>
        <v>-0.29700932267493246</v>
      </c>
    </row>
    <row r="9" spans="1:5" x14ac:dyDescent="0.25">
      <c r="A9" s="7">
        <v>6</v>
      </c>
      <c r="B9" s="7">
        <v>25</v>
      </c>
      <c r="C9" s="7">
        <f t="shared" si="0"/>
        <v>0.5</v>
      </c>
      <c r="D9" s="7">
        <f t="shared" si="1"/>
        <v>0.25</v>
      </c>
      <c r="E9" s="7">
        <f t="shared" si="2"/>
        <v>5.9401864534986498E-2</v>
      </c>
    </row>
    <row r="10" spans="1:5" x14ac:dyDescent="0.25">
      <c r="A10" s="7">
        <v>7</v>
      </c>
      <c r="B10" s="7">
        <v>28</v>
      </c>
      <c r="C10" s="7">
        <f t="shared" si="0"/>
        <v>3.5</v>
      </c>
      <c r="D10" s="7">
        <f t="shared" si="1"/>
        <v>12.25</v>
      </c>
      <c r="E10" s="7">
        <f t="shared" si="2"/>
        <v>0.41581305174490546</v>
      </c>
    </row>
    <row r="11" spans="1:5" x14ac:dyDescent="0.25">
      <c r="A11" s="7">
        <v>8</v>
      </c>
      <c r="B11" s="7">
        <v>30</v>
      </c>
      <c r="C11" s="7">
        <f t="shared" si="0"/>
        <v>5.5</v>
      </c>
      <c r="D11" s="7">
        <f t="shared" si="1"/>
        <v>30.25</v>
      </c>
      <c r="E11" s="7">
        <f t="shared" si="2"/>
        <v>0.65342050988485145</v>
      </c>
    </row>
    <row r="12" spans="1:5" x14ac:dyDescent="0.25">
      <c r="A12" s="7">
        <v>9</v>
      </c>
      <c r="B12" s="7">
        <v>35</v>
      </c>
      <c r="C12" s="7">
        <f t="shared" si="0"/>
        <v>10.5</v>
      </c>
      <c r="D12" s="7">
        <f t="shared" si="1"/>
        <v>110.25</v>
      </c>
      <c r="E12" s="7">
        <f t="shared" si="2"/>
        <v>1.2474391552347164</v>
      </c>
    </row>
    <row r="13" spans="1:5" x14ac:dyDescent="0.25">
      <c r="A13" s="7">
        <v>10</v>
      </c>
      <c r="B13" s="7">
        <v>40</v>
      </c>
      <c r="C13" s="7">
        <f t="shared" si="0"/>
        <v>15.5</v>
      </c>
      <c r="D13" s="7">
        <f t="shared" si="1"/>
        <v>240.25</v>
      </c>
      <c r="E13" s="7">
        <f t="shared" si="2"/>
        <v>1.8414578005845814</v>
      </c>
    </row>
    <row r="14" spans="1:5" x14ac:dyDescent="0.25">
      <c r="B14" s="5" t="s">
        <v>39</v>
      </c>
      <c r="D14" s="5">
        <f>SUM(D4:D13)</f>
        <v>708.5</v>
      </c>
    </row>
    <row r="15" spans="1:5" x14ac:dyDescent="0.25">
      <c r="A15" s="5" t="s">
        <v>40</v>
      </c>
      <c r="B15" s="5">
        <f>AVERAGE(B4:B13)</f>
        <v>24.5</v>
      </c>
    </row>
    <row r="16" spans="1:5" x14ac:dyDescent="0.25">
      <c r="A16" s="5" t="s">
        <v>41</v>
      </c>
      <c r="B16" s="5">
        <f>STDEVP(B4:B13)</f>
        <v>8.4172442046075862</v>
      </c>
    </row>
    <row r="18" spans="1:5" x14ac:dyDescent="0.25">
      <c r="A18" s="3" t="s">
        <v>69</v>
      </c>
      <c r="B18" s="3"/>
      <c r="C18" s="3"/>
      <c r="D18" s="3"/>
      <c r="E18" s="3"/>
    </row>
    <row r="19" spans="1:5" x14ac:dyDescent="0.25">
      <c r="A19" s="10" t="s">
        <v>70</v>
      </c>
      <c r="B19" s="5">
        <f>B15+B16</f>
        <v>32.917244204607584</v>
      </c>
    </row>
    <row r="21" spans="1:5" x14ac:dyDescent="0.25">
      <c r="A21" s="6" t="s">
        <v>2</v>
      </c>
      <c r="B21" s="6" t="s">
        <v>71</v>
      </c>
      <c r="C21" s="6" t="s">
        <v>44</v>
      </c>
      <c r="D21" s="6" t="s">
        <v>72</v>
      </c>
    </row>
    <row r="22" spans="1:5" x14ac:dyDescent="0.25">
      <c r="A22" s="7">
        <v>1</v>
      </c>
      <c r="B22" s="7">
        <f t="shared" ref="B22:B31" si="3">B4</f>
        <v>12</v>
      </c>
      <c r="C22" s="7">
        <f t="shared" ref="C22:C31" si="4">E4</f>
        <v>-1.4850466133746625</v>
      </c>
      <c r="D22" s="7" t="str">
        <f t="shared" ref="D22:D31" si="5">IF(E4&gt;1,"Yes","No")</f>
        <v>No</v>
      </c>
    </row>
    <row r="23" spans="1:5" x14ac:dyDescent="0.25">
      <c r="A23" s="7">
        <v>2</v>
      </c>
      <c r="B23" s="7">
        <f t="shared" si="3"/>
        <v>15</v>
      </c>
      <c r="C23" s="7">
        <f t="shared" si="4"/>
        <v>-1.1286354261647435</v>
      </c>
      <c r="D23" s="7" t="str">
        <f t="shared" si="5"/>
        <v>No</v>
      </c>
    </row>
    <row r="24" spans="1:5" x14ac:dyDescent="0.25">
      <c r="A24" s="7">
        <v>3</v>
      </c>
      <c r="B24" s="7">
        <f t="shared" si="3"/>
        <v>18</v>
      </c>
      <c r="C24" s="7">
        <f t="shared" si="4"/>
        <v>-0.7722242389548245</v>
      </c>
      <c r="D24" s="7" t="str">
        <f t="shared" si="5"/>
        <v>No</v>
      </c>
    </row>
    <row r="25" spans="1:5" x14ac:dyDescent="0.25">
      <c r="A25" s="7">
        <v>4</v>
      </c>
      <c r="B25" s="7">
        <f t="shared" si="3"/>
        <v>20</v>
      </c>
      <c r="C25" s="7">
        <f t="shared" si="4"/>
        <v>-0.53461678081487851</v>
      </c>
      <c r="D25" s="7" t="str">
        <f t="shared" si="5"/>
        <v>No</v>
      </c>
    </row>
    <row r="26" spans="1:5" x14ac:dyDescent="0.25">
      <c r="A26" s="7">
        <v>5</v>
      </c>
      <c r="B26" s="7">
        <f t="shared" si="3"/>
        <v>22</v>
      </c>
      <c r="C26" s="7">
        <f t="shared" si="4"/>
        <v>-0.29700932267493246</v>
      </c>
      <c r="D26" s="7" t="str">
        <f t="shared" si="5"/>
        <v>No</v>
      </c>
    </row>
    <row r="27" spans="1:5" x14ac:dyDescent="0.25">
      <c r="A27" s="7">
        <v>6</v>
      </c>
      <c r="B27" s="7">
        <f t="shared" si="3"/>
        <v>25</v>
      </c>
      <c r="C27" s="7">
        <f t="shared" si="4"/>
        <v>5.9401864534986498E-2</v>
      </c>
      <c r="D27" s="7" t="str">
        <f t="shared" si="5"/>
        <v>No</v>
      </c>
    </row>
    <row r="28" spans="1:5" x14ac:dyDescent="0.25">
      <c r="A28" s="7">
        <v>7</v>
      </c>
      <c r="B28" s="7">
        <f t="shared" si="3"/>
        <v>28</v>
      </c>
      <c r="C28" s="7">
        <f t="shared" si="4"/>
        <v>0.41581305174490546</v>
      </c>
      <c r="D28" s="7" t="str">
        <f t="shared" si="5"/>
        <v>No</v>
      </c>
    </row>
    <row r="29" spans="1:5" x14ac:dyDescent="0.25">
      <c r="A29" s="7">
        <v>8</v>
      </c>
      <c r="B29" s="7">
        <f t="shared" si="3"/>
        <v>30</v>
      </c>
      <c r="C29" s="7">
        <f t="shared" si="4"/>
        <v>0.65342050988485145</v>
      </c>
      <c r="D29" s="7" t="str">
        <f t="shared" si="5"/>
        <v>No</v>
      </c>
    </row>
    <row r="30" spans="1:5" x14ac:dyDescent="0.25">
      <c r="A30" s="12">
        <v>9</v>
      </c>
      <c r="B30" s="12">
        <f t="shared" si="3"/>
        <v>35</v>
      </c>
      <c r="C30" s="12">
        <f t="shared" si="4"/>
        <v>1.2474391552347164</v>
      </c>
      <c r="D30" s="12" t="str">
        <f t="shared" si="5"/>
        <v>Yes</v>
      </c>
    </row>
    <row r="31" spans="1:5" x14ac:dyDescent="0.25">
      <c r="A31" s="12">
        <v>10</v>
      </c>
      <c r="B31" s="12">
        <f t="shared" si="3"/>
        <v>40</v>
      </c>
      <c r="C31" s="12">
        <f t="shared" si="4"/>
        <v>1.8414578005845814</v>
      </c>
      <c r="D31" s="12" t="str">
        <f t="shared" si="5"/>
        <v>Yes</v>
      </c>
    </row>
  </sheetData>
  <mergeCells count="2">
    <mergeCell ref="A1:E1"/>
    <mergeCell ref="A18:E18"/>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Q1 Duplicate Detection</vt:lpstr>
      <vt:lpstr>Q2 Covariance</vt:lpstr>
      <vt:lpstr>Q3 Outlier Z-Score</vt:lpstr>
      <vt:lpstr>Q4 Equal-Width Binning</vt:lpstr>
      <vt:lpstr>Q5 Standardization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sai rakesh</cp:lastModifiedBy>
  <cp:revision>0</cp:revision>
  <dcterms:created xsi:type="dcterms:W3CDTF">2026-07-29T05:14:50Z</dcterms:created>
  <dcterms:modified xsi:type="dcterms:W3CDTF">2026-07-31T08:55:35Z</dcterms:modified>
  <dc:language>en-US</dc:language>
</cp:coreProperties>
</file>