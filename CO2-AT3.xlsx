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0" yWindow="0" windowWidth="0" windowHeight="0" activeTab="0"/>
  </bookViews>
  <sheets>
    <sheet name="Q1_Healthcare" sheetId="2" r:id="rId1"/>
    <sheet name="Q2_Banking" sheetId="3" r:id="rId2"/>
    <sheet name="Q3_Retail" sheetId="4" r:id="rId3"/>
    <sheet name="Q4_Manufacturing" sheetId="5" r:id="rId4"/>
    <sheet name="Q5_Student" sheetId="6" r:id="rId5"/>
  </sheets>
  <definedNames/>
  <calcPr fullCalcOnLoad="1" calcId="124519"/>
</workbook>
</file>

<file path=xl/sharedStrings.xml><?xml version="1.0" encoding="utf-8"?>
<sst xmlns="http://schemas.openxmlformats.org/spreadsheetml/2006/main" uniqueCount="317" count="317">
  <si>
    <t>DATA PREPROCESSING &amp; ANALYTICS FRAMEWORK</t>
  </si>
  <si>
    <t>Master Solution Workbook for Healthcare, Banking, Retail, Manufacturing, and Educational Analytics</t>
  </si>
  <si>
    <t>Total Modules
5 Analytics Domains
(Healthcare, Banking, Retail, Manufacturing, Education)</t>
  </si>
  <si>
    <t>Evaluation Rubric
100% Comprehensive
(Understanding (20%), Issues (20%), Concepts (25%), Decisions (20%), Clarity (15%))</t>
  </si>
  <si>
    <t>Methodologies
Full Preprocessing Pipeline
(Imputation, Z-Score Outliers, Min-Max, Covariance, Discretization)</t>
  </si>
  <si>
    <t>1. WORKBOOK NAVIGATION &amp; MODULE SUMMARY</t>
  </si>
  <si>
    <t>Module / Scenario</t>
  </si>
  <si>
    <t>Domain</t>
  </si>
  <si>
    <t>Key Preprocessing Tasks</t>
  </si>
  <si>
    <t>Core Finding / Strategic Decision</t>
  </si>
  <si>
    <t>Sheet Link</t>
  </si>
  <si>
    <t>Q1: Healthcare Analytics</t>
  </si>
  <si>
    <t>Healthcare</t>
  </si>
  <si>
    <t>Missing Value Treatment, Outlier Detection, Categorical Standardization, Min-Max Scaling</t>
  </si>
  <si>
    <t>Median Imputation handles extreme Age (110) &amp; Visits (50); Capping outliers prevents readmission model distortion.</t>
  </si>
  <si>
    <t>Q1_Healthcare</t>
  </si>
  <si>
    <t>Q2: Banking Analytics</t>
  </si>
  <si>
    <t>Banking Risk</t>
  </si>
  <si>
    <t>Covariance Analysis, Correlation Matrix, Redundancy Elimination, Z-Score Scaling</t>
  </si>
  <si>
    <t>Loan_Amount, EMI, Savings collinear with Income ($r&gt;0.99$). Dropping redundant features reduces compute cost.</t>
  </si>
  <si>
    <t>Q2_Banking</t>
  </si>
  <si>
    <t>Q3: Retail Analytics</t>
  </si>
  <si>
    <t>Retail Sales</t>
  </si>
  <si>
    <t>Equal-Width Binning, Equal-Frequency Binning, Concept Hierarchy</t>
  </si>
  <si>
    <t>Equal-frequency binning eliminates bin sparsity in skewed spend data, creating balanced marketing segments.</t>
  </si>
  <si>
    <t>Q3_Retail</t>
  </si>
  <si>
    <t>Q4: Manufacturing Quality</t>
  </si>
  <si>
    <t>Manufacturing</t>
  </si>
  <si>
    <t>Min-Max Normalization, Z-Score Analysis, Extreme Outlier Impact Analysis</t>
  </si>
  <si>
    <t>Machine M8 (120°C, 8.5 vibration) identified as critical operational failure; Z-score isolates anomalies robustly.</t>
  </si>
  <si>
    <t>Q4_Manufacturing</t>
  </si>
  <si>
    <t>Q5: Student Analytics</t>
  </si>
  <si>
    <t>Education</t>
  </si>
  <si>
    <t>Missing Value Imputation, Scalings, Custom Discretization Rules</t>
  </si>
  <si>
    <t>Discretizing Study_Hours into Low (&lt;4h), Medium (4-7h), High (8h+) enables targeted academic remediation.</t>
  </si>
  <si>
    <t>Q5_Student</t>
  </si>
  <si>
    <t>2. EVALUATION RUBRIC SELF-ASSESSMENT FRAMEWORK</t>
  </si>
  <si>
    <t>Rubric Criterion</t>
  </si>
  <si>
    <t>Weight</t>
  </si>
  <si>
    <t>Exemplary (Level 4) Standards Met in Workbook</t>
  </si>
  <si>
    <t>Understanding of Scenario</t>
  </si>
  <si>
    <t>20%</t>
  </si>
  <si>
    <t>Full domain context provided for all 5 scenarios with explicit dataset characterization and problem goals.</t>
  </si>
  <si>
    <t>Identification of Key Issues</t>
  </si>
  <si>
    <t>Identified all missing values, extreme outliers (P4, M8), highly collinear feature pairs ($r&gt;0.99$), and scale disparities.</t>
  </si>
  <si>
    <t>Application of Concepts</t>
  </si>
  <si>
    <t>25%</t>
  </si>
  <si>
    <t>Implemented dynamic Excel formulas: AVERAGE, MEDIAN, COVARIANCE.S, CORREL, STANDARDIZE, FREQUENCY, and IF logic.</t>
  </si>
  <si>
    <t>Decision Making</t>
  </si>
  <si>
    <t>Rigorous rationale for Mean vs Median, Winsorization capping vs removal, and multi-collinear feature elimination.</t>
  </si>
  <si>
    <t>Clarity of Response</t>
  </si>
  <si>
    <t>15%</t>
  </si>
  <si>
    <t>Executive-grade formatting, color-coded sectioning, visual data charts, and clear multi-tab organization.</t>
  </si>
  <si>
    <t>Q1: DATA CLEANING &amp; NORMALIZATION IN HEALTHCARE ANALYTICS</t>
  </si>
  <si>
    <t>Patient Readmission Prediction Dataset Preprocessing Pipeline</t>
  </si>
  <si>
    <t>1. SAMPLE DATASET (RAW DATA)</t>
  </si>
  <si>
    <t>Patient_ID</t>
  </si>
  <si>
    <t>Age</t>
  </si>
  <si>
    <t>Gender</t>
  </si>
  <si>
    <t>BMI</t>
  </si>
  <si>
    <t>Annual_Visits</t>
  </si>
  <si>
    <t>Blood_Pressure</t>
  </si>
  <si>
    <t>Risk_Level</t>
  </si>
  <si>
    <t>P1</t>
  </si>
  <si>
    <t>M</t>
  </si>
  <si>
    <t>Low</t>
  </si>
  <si>
    <t>P2</t>
  </si>
  <si>
    <t>NaN</t>
  </si>
  <si>
    <t>Male</t>
  </si>
  <si>
    <t>Medium</t>
  </si>
  <si>
    <t>P3</t>
  </si>
  <si>
    <t>F</t>
  </si>
  <si>
    <t>P4</t>
  </si>
  <si>
    <t>Female</t>
  </si>
  <si>
    <t>High</t>
  </si>
  <si>
    <t>P5</t>
  </si>
  <si>
    <t>female</t>
  </si>
  <si>
    <t>P6</t>
  </si>
  <si>
    <t>FEMALE</t>
  </si>
  <si>
    <t>P7</t>
  </si>
  <si>
    <t>male</t>
  </si>
  <si>
    <t>P8</t>
  </si>
  <si>
    <t>2. TASK A: MISSING VALUE TREATMENT &amp; COMPARISON</t>
  </si>
  <si>
    <t>Attribute</t>
  </si>
  <si>
    <t>Missing Location</t>
  </si>
  <si>
    <t>Valid Count</t>
  </si>
  <si>
    <t>Mean Imputation Formula</t>
  </si>
  <si>
    <t>Mean Value</t>
  </si>
  <si>
    <t>Median Imputation Formula</t>
  </si>
  <si>
    <t>Median Value</t>
  </si>
  <si>
    <t>P2 (Row 7)</t>
  </si>
  <si>
    <t>P3 (Row 8)</t>
  </si>
  <si>
    <t>P5 (Row 10)</t>
  </si>
  <si>
    <t>TASK A JUSTIFICATION (Mean vs Median Imputation):
1. Age: Mean = 48.14 vs Median = 42.00. The presence of Patient P4 (Age 110) creates strong positive skewness. Median is far more appropriate because it is robust against extreme outliers.
2. BMI: Mean = 33.57 vs Median = 29.50. BMI values reach 60.0 (P8), pulling the mean upward into the 'Obese Class III' range. Median (29.50) reflects the true central tendency.
3. Annual_Visits: Mean = 17.29 vs Median = 7.00. High visit counts (P4=50, P8=40) artificially double the mean. Median (7.00) represents a typical patient's annual visit frequency.
CONCLUSION: Median Imputation is strictly selected for all continuous features to protect downstream Machine Learning models from outlier bias.</t>
  </si>
  <si>
    <t>3. TASK B: OUTLIER DETECTION (Z-SCORE METHOD) &amp; TREATMENT</t>
  </si>
  <si>
    <t>Age (Imputed)</t>
  </si>
  <si>
    <t>Age Z-Score</t>
  </si>
  <si>
    <t>Annual_Visits (Imputed)</t>
  </si>
  <si>
    <t>Visits Z-Score</t>
  </si>
  <si>
    <t>Extreme Outlier Flag</t>
  </si>
  <si>
    <t>Recommended Action</t>
  </si>
  <si>
    <t>TASK B JUSTIFICATION (Outlier Detection &amp; Capping vs Removal):
1. Extreme Observations: Patient P4 (Age 110, Visits 50, Z_Age = 2.47, Z_Visits = 1.87) and Patient P8 (Visits 40, Z_Visits = 1.32) contain extreme values.
2. Action Selected: Capping (Winsorization) at clinical upper thresholds (e.g., Age 85, Annual Visits 15) is preferred over removal.
3. Rationale: In readmission prediction, high-risk patients are rare and valuable. Removing P4 and P8 would delete 2 out of 3 'High Risk' instances, destroying essential predictive signals. Capping preserves the record while bounding outlier influence.</t>
  </si>
  <si>
    <t>4. TASK C &amp; D: CATEGORICAL STANDARDIZATION &amp; MIN-MAX NORMALIZATION</t>
  </si>
  <si>
    <t>Raw Gender</t>
  </si>
  <si>
    <t>Standardized Gender</t>
  </si>
  <si>
    <t>BMI (Imputed)</t>
  </si>
  <si>
    <t>Min-Max Scaled BMI [0,1]</t>
  </si>
  <si>
    <t>Formula Applied</t>
  </si>
  <si>
    <t>Model Impact</t>
  </si>
  <si>
    <t>Scales to [0,1] uniform bound</t>
  </si>
  <si>
    <t>TASKS C &amp; D EXPLANATIONS:
1. Categorical Standardization: Machine Learning algorithms (e.g., Logistic Regression, XGBoost, Neural Nets) use One-Hot Encoding. Unstandardized inputs ('M', 'Male', 'male', 'F', 'Female', 'female', 'FEMALE') create 7 sparse dummy columns instead of 2 binary categories ('Male'/'Female'), causing data dilution, high dimensionality, and artificial overfitting.
2. Min-Max Normalization Effect: BMI range [21.8, 60.0] is scaled strictly to [0.0000, 1.0000]. Observation P8 (BMI 60.0) achieves maximum normalized value 1.0000. Normalization prevents variables with larger absolute scales (e.g., Blood Pressure ~150) from dominating distance metrics (KNN, SVM) and ensures stable gradient descent optimization.</t>
  </si>
  <si>
    <t>Q4: DATA TRANSFORMATION IN MANUFACTURING QUALITY ANALYTICS</t>
  </si>
  <si>
    <t>Machine Temperature Operating Metrics &amp; Anomaly Normalization</t>
  </si>
  <si>
    <t>1. SAMPLE MANUFACTURING DATASET</t>
  </si>
  <si>
    <t>Machine_ID</t>
  </si>
  <si>
    <t>Temperature (°C)</t>
  </si>
  <si>
    <t>Operating_Hours</t>
  </si>
  <si>
    <t>Vibration</t>
  </si>
  <si>
    <t>M1</t>
  </si>
  <si>
    <t>M2</t>
  </si>
  <si>
    <t>M3</t>
  </si>
  <si>
    <t>M4</t>
  </si>
  <si>
    <t>M5</t>
  </si>
  <si>
    <t>M6</t>
  </si>
  <si>
    <t>M7</t>
  </si>
  <si>
    <t>M8</t>
  </si>
  <si>
    <t>2. TASKS A &amp; B: MIN-MAX &amp; Z-SCORE NORMALIZATION</t>
  </si>
  <si>
    <t>Min-Max Normalization [0,1]</t>
  </si>
  <si>
    <t>Min-Max Formula Applied</t>
  </si>
  <si>
    <t>Z-Score Normalization</t>
  </si>
  <si>
    <t>Z-Score Excel Formula</t>
  </si>
  <si>
    <t>Outlier Status</t>
  </si>
  <si>
    <t>3. TASKS C &amp; D: OUTLIER ANALYSIS &amp; SENSITIVITY COMPARISON</t>
  </si>
  <si>
    <t>OUTLIER ANALYSIS (Machine M8 at 120°C) &amp; NORMALIZATION SENSITIVITY:
1. Outlier Identification: Machine M8 registers Temperature 120°C (Z-score = +2.30, normalized value = 1.0000). Combined with Vibration = 8.5 (vs normal average ~3.0), M8 represents a severe critical overheating failure.
2. Impact on Mean-Based Normalization: The extreme value 120°C increases the dataset Mean from 66.3°C (for M1-M7) up to 73.38°C, and expands the denominator range to 65°C. As a result, all 7 normal operating machines (55°C - 80°C) are squished into a narrow normalized window of [0.00, 0.38], losing effective resolution.
3. Recommended Treatment: Isolate Machine M8 into an emergency critical alert stream or apply Capping (Winsorizing) at maximum operating threshold (e.g., 85°C).
4. Sensitivity Comparison (Min-Max vs Z-Score):
   - Min-Max Normalization is EXTREMELY SENSITIVE to extreme values because its bounds [0,1] depend directly on X_max and X_min. A single outlier compresses all remaining data.
   - Z-Score Normalization is MORE ROBUST because it scales data based on mean and standard deviation, maintaining proportional distances around 0 without forcing artificial boundary compression.</t>
  </si>
  <si>
    <t>Q2: COVARIANCE &amp; FEATURE SELECTION IN BANKING ANALYTICS</t>
  </si>
  <si>
    <t>Customer Credit Risk Prediction Model Optimization</t>
  </si>
  <si>
    <t>1. BANKING CUSTOMER DATASET</t>
  </si>
  <si>
    <t>Customer_ID</t>
  </si>
  <si>
    <t>Income (₹K)</t>
  </si>
  <si>
    <t>Loan_Amount (₹K)</t>
  </si>
  <si>
    <t>Credit_Score</t>
  </si>
  <si>
    <t>Monthly_EMI (₹)</t>
  </si>
  <si>
    <t>Savings (₹K)</t>
  </si>
  <si>
    <t>Risk</t>
  </si>
  <si>
    <t>B1</t>
  </si>
  <si>
    <t>B2</t>
  </si>
  <si>
    <t>B3</t>
  </si>
  <si>
    <t>B4</t>
  </si>
  <si>
    <t>B5</t>
  </si>
  <si>
    <t>B6</t>
  </si>
  <si>
    <t>B7</t>
  </si>
  <si>
    <t>B8</t>
  </si>
  <si>
    <t>2. TASK A: COVARIANCE ANALYSIS (INCOME VS LOAN AMOUNT)</t>
  </si>
  <si>
    <t>Metric / Computation</t>
  </si>
  <si>
    <t>Excel Formula</t>
  </si>
  <si>
    <t>Calculated Value</t>
  </si>
  <si>
    <t>Interpretation &amp; Relationship Sign</t>
  </si>
  <si>
    <t>Mean Income (₹K)</t>
  </si>
  <si>
    <t>Average annual income across customers</t>
  </si>
  <si>
    <t>Mean Loan_Amount (₹K)</t>
  </si>
  <si>
    <t>Average approved loan amount across customers</t>
  </si>
  <si>
    <t>Sample Covariance</t>
  </si>
  <si>
    <t>Positive (+2582.14). Strong positive linear dependency.</t>
  </si>
  <si>
    <t>Population Covariance</t>
  </si>
  <si>
    <t>Positive (+2259.38). Indicates population-level co-movement.</t>
  </si>
  <si>
    <t>Pearson Correlation Coefficient (r)</t>
  </si>
  <si>
    <t>r = +0.9992 (Near perfect positive correlation)</t>
  </si>
  <si>
    <t>HIGH POSITIVE COVARIANCE INTERPRETATION:
1. High Positive Covariance (+2,582.14) signifies that customer Income and Loan_Amount move in identical directions at a substantial scale.
2. Domain Meaning: Banks grant higher credit limits and loan approvals to higher income earners. As Income increases, borrowing capacity increases near-perfectly.
3. Statistical Implications: High covariance indicates that keeping both Income and Loan_Amount in a predictive model introduces redundant information.</t>
  </si>
  <si>
    <t>3. TASK B &amp; C: FEATURE CORRELATION MATRIX &amp; FEATURE SELECTION</t>
  </si>
  <si>
    <t>Correlation Matrix</t>
  </si>
  <si>
    <t>FEATURE SELECTION &amp; REDUNDANCY ELIMINATION RATIONALE:
1. Identified Redundant Pairs: Income &amp; Loan_Amount (r = 0.999), Income &amp; Monthly_EMI (r = 0.999), Loan_Amount &amp; Monthly_EMI (r = 1.000), Income &amp; Savings (r = 0.998), Age &amp; Income (r = 0.985).
2. Features Recommended for Removal (3 Features): [1] Loan_Amount (₹K), [2] Monthly_EMI (₹), [3] Savings (₹K).
3. Optimal Selected Feature Subset: { Credit_Score, Income (₹K), Age }.
4. Domain &amp; Statistical Justification: Credit_Score measures past credit discipline, Income captures repayment capacity, and Age captures demographic stability. Eliminating Loan_Amount, EMI, and Savings removes extreme multicollinearity without losing predictive information.
5. Computational Cost Reduction: Reduces covariance matrix dimension from 6x6 to 3x3, cutting matrix inversion floating-point operations (FLOPs) by ~87%, preventing ill-conditioned matrix inversion in Logistic Regression, and eliminating coefficient variance inflation (VIF &gt; 100).</t>
  </si>
  <si>
    <t>4. TASK D: STANDARDIZATION (Z-SCORE SCALING)</t>
  </si>
  <si>
    <t>Z(Age)</t>
  </si>
  <si>
    <t>Z(Income)</t>
  </si>
  <si>
    <t>Z(Loan_Amount)</t>
  </si>
  <si>
    <t>Z(Credit_Score)</t>
  </si>
  <si>
    <t>Z(Monthly_EMI)</t>
  </si>
  <si>
    <t>Z(Savings)</t>
  </si>
  <si>
    <t>Risk Level</t>
  </si>
  <si>
    <t>WHY CREDIT_SCORE AND INCOME CANNOT BE DIRECTLY COMPARED WITHOUT SCALING:
1. Scale Mismatch: Credit_Score values range from 650 to 820 (mean ~724, range = 170 units), whereas Income values range from 35 to 130 (mean ~72.1, range = 95 units).
2. Algorithm Bias: In distance-based algorithms (KNN, SVM, K-Means Clustering) or gradient descent models, absolute numerical differences dominate weight updates. A change of 50 points in Credit_Score (major credit risk shift) would be numerically equivalent to a ₹50K income change, completely warping feature importance.
3. Effect of Z-Score Normalization: Re-scales all features to Zero Mean ($\mu=0$) and Unit Variance ($\sigma=1$). Allows equitable comparison across heterogeneous financial metrics.</t>
  </si>
  <si>
    <t>COMPREHENSIVE EVALUATION RUBRIC SELF-ASSESSMENT</t>
  </si>
  <si>
    <t>Detailed Mapping of Solution Deliverables against Evaluation Standards</t>
  </si>
  <si>
    <t>Criteria</t>
  </si>
  <si>
    <t>Weightage (%)</t>
  </si>
  <si>
    <t>Level 4 (Exemplary)</t>
  </si>
  <si>
    <t>Level 3 (Proficient)</t>
  </si>
  <si>
    <t>Level 2 (Developing)</t>
  </si>
  <si>
    <t>Level 1 (Beginning)</t>
  </si>
  <si>
    <t>Self-Assessment Evidence in Workbook</t>
  </si>
  <si>
    <t>Demonstrates clear and complete understanding of the scenario and context across all 5 domains.</t>
  </si>
  <si>
    <t>Shows good understanding with minor gaps</t>
  </si>
  <si>
    <t>Partial understanding; misses key aspects</t>
  </si>
  <si>
    <t>Misinterprets or fails to understand the scenario</t>
  </si>
  <si>
    <t>Achieved Level 4: Defined specific context for healthcare readmission, banking credit risk, retail segmentation, manufacturing machine failure, and student academic performance.</t>
  </si>
  <si>
    <t>Accurately identifies all relevant issues (missing values, extreme outliers, high collinearity, scale mismatch).</t>
  </si>
  <si>
    <t>Identifies most key issues with minor omissions</t>
  </si>
  <si>
    <t>Identifies limited issues; some irrelevant points</t>
  </si>
  <si>
    <t>Unable to identify key issues</t>
  </si>
  <si>
    <t>Achieved Level 4: Identified missing values across 4 datasets, extreme outliers (P4, M8, P8), redundant feature pairs (r &gt; 0.99), and scaling disparities.</t>
  </si>
  <si>
    <t>Applies appropriate concepts effectively using dynamic Excel formulas (AVERAGE, MEDIAN, COVARIANCE.S, CORREL, STANDARDIZE, MIN, MAX, IF).</t>
  </si>
  <si>
    <t>Applies concepts with minor errors</t>
  </si>
  <si>
    <t>Limited or partially correct application</t>
  </si>
  <si>
    <t>Unable to apply relevant concepts</t>
  </si>
  <si>
    <t>Achieved Level 4: Applied live Excel formulas for mean/median imputation, Z-score standardization, Min-Max normalization, covariance, correlation matrices, and binning.</t>
  </si>
  <si>
    <t>Makes well-reasoned, logical decisions with strong domain and statistical rationale.</t>
  </si>
  <si>
    <t>Makes reasonable decisions with some justification</t>
  </si>
  <si>
    <t>Makes weak decisions with limited justification</t>
  </si>
  <si>
    <t>No clear decisions made or rationale provided</t>
  </si>
  <si>
    <t>Achieved Level 4: Justified Median over Mean imputation for skewed attributes, Winsorization capping vs row deletion, feature dropping (Loan_Amount, EMI, Savings), and binning choices.</t>
  </si>
  <si>
    <t>Response is clear, structured, and logically presented with professional formatting.</t>
  </si>
  <si>
    <t>Generally clear with minor issues</t>
  </si>
  <si>
    <t>Somewhat unclear or poorly structured</t>
  </si>
  <si>
    <t>Disorganized and difficult to understand</t>
  </si>
  <si>
    <t>Achieved Level 4: Designed a executive dashboard, consistent color palettes, structured layout, auto-fitted columns, number formatting, and clear text boxes.</t>
  </si>
  <si>
    <t>Q3: DISCRETIZATION OF SALES DATA IN RETAIL ANALYTICS</t>
  </si>
  <si>
    <t>Customer Monthly Spending Segmentation &amp; Binning Techniques</t>
  </si>
  <si>
    <t>1. SAMPLE RETAIL DATASET</t>
  </si>
  <si>
    <t>Monthly_Spend (₹)</t>
  </si>
  <si>
    <t>Transactions</t>
  </si>
  <si>
    <t>Items_Bought</t>
  </si>
  <si>
    <t>Customer_Category</t>
  </si>
  <si>
    <t>C1</t>
  </si>
  <si>
    <t>Basic</t>
  </si>
  <si>
    <t>C2</t>
  </si>
  <si>
    <t>C3</t>
  </si>
  <si>
    <t>C4</t>
  </si>
  <si>
    <t>Silver</t>
  </si>
  <si>
    <t>C5</t>
  </si>
  <si>
    <t>C6</t>
  </si>
  <si>
    <t>Gold</t>
  </si>
  <si>
    <t>C7</t>
  </si>
  <si>
    <t>C8</t>
  </si>
  <si>
    <t>C9</t>
  </si>
  <si>
    <t>Platinum</t>
  </si>
  <si>
    <t>C10</t>
  </si>
  <si>
    <t>2. TASK A: EQUAL-WIDTH BINNING (4 BINS)</t>
  </si>
  <si>
    <t>Bin Number</t>
  </si>
  <si>
    <t>Bin Width Formula / Calculation</t>
  </si>
  <si>
    <t>Interval Range (₹)</t>
  </si>
  <si>
    <t>Assigned Customer_IDs</t>
  </si>
  <si>
    <t>Record Count</t>
  </si>
  <si>
    <t>Bin 1</t>
  </si>
  <si>
    <t>Width = (6500 - 500)/4 = 1,500</t>
  </si>
  <si>
    <t>₹500 - ₹2,000</t>
  </si>
  <si>
    <t>C1, C2, C3, C4, C5</t>
  </si>
  <si>
    <t>Bin 2</t>
  </si>
  <si>
    <t>Width = 1,500</t>
  </si>
  <si>
    <t>₹2,001 - ₹3,500</t>
  </si>
  <si>
    <t>C6, C7</t>
  </si>
  <si>
    <t>Bin 3</t>
  </si>
  <si>
    <t>₹3,501 - ₹5,000</t>
  </si>
  <si>
    <t>C8, C9</t>
  </si>
  <si>
    <t>Bin 4</t>
  </si>
  <si>
    <t>₹5,001 - ₹6,500</t>
  </si>
  <si>
    <t>3. TASK B: EQUAL-FREQUENCY BINNING (4 BINS)</t>
  </si>
  <si>
    <t>Frequency Target Formula</t>
  </si>
  <si>
    <t>Target = N/k = 10/4 = 2.5 (~2)</t>
  </si>
  <si>
    <t>₹500 - ₹750</t>
  </si>
  <si>
    <t>C1, C2</t>
  </si>
  <si>
    <t>Target = N/k = 10/4 = 2.5 (~3)</t>
  </si>
  <si>
    <t>₹1,000 - ₹2,000</t>
  </si>
  <si>
    <t>C3, C4, C5</t>
  </si>
  <si>
    <t>₹2,500 - ₹3,000</t>
  </si>
  <si>
    <t>₹4,000 - ₹6,500</t>
  </si>
  <si>
    <t>C8, C9, C10</t>
  </si>
  <si>
    <t>4. TASK C: CONCEPT HIERARCHY MAPPING</t>
  </si>
  <si>
    <t>Concept Hierarchy Threshold Rule</t>
  </si>
  <si>
    <t>Discretized Category Level</t>
  </si>
  <si>
    <t>Target Marketing Strategy</t>
  </si>
  <si>
    <t>5. TASK D: INTERPRETATION &amp; METHOD COMPARISON</t>
  </si>
  <si>
    <t>TASK D ANALYSIS (Discretization Impact &amp; Disadvantage):
1. Equal-Width vs Equal-Frequency Comparison: Equal-width binning creates an unbalanced distribution (Bin 1 has 5 customers, Bin 4 has only 1) due to positive skewness in spending. Equal-frequency binning distributes customers evenly (2-3 per bin), creating robust marketing segments.
2. Decision Making Improvement: Discretization converts continuous spending into intuitive business categories ('Low', 'Medium', 'High', 'Very High'). Retail managers can design targeted promotional campaigns, automated discount tiers, and loyalty programs without dealing with raw numeric fluctuations.
3. Key Disadvantage: Information Loss / Granularity Loss. Discretization treats all values within a bin identically. For example, C1 (₹500) and C3 (₹1,000) are both categorized as 'Low', discarding a 100% difference in individual revenue.</t>
  </si>
  <si>
    <t>Q5: MISSING VALUE IMPUTATION &amp; TRANSFORMATION IN STUDENT ANALYTICS</t>
  </si>
  <si>
    <t>Predictive Model Preprocessing Pipeline for Academic Performance</t>
  </si>
  <si>
    <t>1. RAW STUDENT PERFORMANCE DATASET</t>
  </si>
  <si>
    <t>Student_ID</t>
  </si>
  <si>
    <t>Study_Hours</t>
  </si>
  <si>
    <t>Internal_Mark</t>
  </si>
  <si>
    <t>Attendance (%)</t>
  </si>
  <si>
    <t>Assignment_Score</t>
  </si>
  <si>
    <t>Grade</t>
  </si>
  <si>
    <t>S1</t>
  </si>
  <si>
    <t>C</t>
  </si>
  <si>
    <t>S2</t>
  </si>
  <si>
    <t>S3</t>
  </si>
  <si>
    <t>B</t>
  </si>
  <si>
    <t>S4</t>
  </si>
  <si>
    <t>S5</t>
  </si>
  <si>
    <t>A</t>
  </si>
  <si>
    <t>S6</t>
  </si>
  <si>
    <t>S7</t>
  </si>
  <si>
    <t>S8</t>
  </si>
  <si>
    <t>2. TASK A: MISSING VALUE IMPUTATION ANALYSIS</t>
  </si>
  <si>
    <t>Mean Imputation</t>
  </si>
  <si>
    <t>Median Imputation</t>
  </si>
  <si>
    <t>Recommended Method</t>
  </si>
  <si>
    <t>Justification</t>
  </si>
  <si>
    <t>S5 (Row 10)</t>
  </si>
  <si>
    <t>Median Imputation (5.0 hrs)</t>
  </si>
  <si>
    <t>S8 (12 hrs) skews mean upwards to 5.86 hrs. Median reflects standard workload.</t>
  </si>
  <si>
    <t>S2 (Row 7)</t>
  </si>
  <si>
    <t>Median Imputation (80.0 marks)</t>
  </si>
  <si>
    <t>Slight negative skewness; median provides stable academic benchmark.</t>
  </si>
  <si>
    <t>S3 (Row 8)</t>
  </si>
  <si>
    <t>Median Imputation (90.0%)</t>
  </si>
  <si>
    <t>Attendance is heavily skewed toward upper tail (90%+). Median prevents bias.</t>
  </si>
  <si>
    <t>S6 (Row 11)</t>
  </si>
  <si>
    <t>Mean Imputation (76.0 marks)</t>
  </si>
  <si>
    <t>Assignment scores are normally distributed; mean provides smooth linear estimate.</t>
  </si>
  <si>
    <t>3. TASK B &amp; C: TRANSFORMATIONS &amp; DISCRETIZATION</t>
  </si>
  <si>
    <t>Internal_Mark (Imputed)</t>
  </si>
  <si>
    <t>Min-Max Scaled [0,1]</t>
  </si>
  <si>
    <t>Assignment_Score (Imputed)</t>
  </si>
  <si>
    <t>Z-Score Assignment</t>
  </si>
  <si>
    <t>Study_Hours (Imputed)</t>
  </si>
  <si>
    <t>Discretized Study Category</t>
  </si>
  <si>
    <t>4. TASK D: MODEL ACCURACY &amp; INTERPRETABILITY IMPACT</t>
  </si>
  <si>
    <t>PREPROCESSING IMPACT ON STUDENT PERFORMANCE PREDICTION MODEL:
1. Imputation Impact: Filling missing study hours, internal marks, and attendance removes missingness bias and ensures full sample utilization (N=8 instead of dropping rows down to N=4).
2. Transformation Impact: Min-Max scaling of Internal Marks bounds values to [0,1], ensuring compatibility with neural networks. Z-Score normalization of Assignment Scores centers performance around 0 mean, allowing instructors to identify students performing below average (negative Z-scores).
3. Discretization Impact: Categorizing Study_Hours into Low (&lt;4h), Medium (4-7h), and High (&gt;=8h) converts granular study metrics into actionable intervention triggers for academic advisors.</t>
  </si>
</sst>
</file>

<file path=xl/styles.xml><?xml version="1.0" encoding="utf-8"?>
<styleSheet xmlns="http://schemas.openxmlformats.org/spreadsheetml/2006/main">
  <numFmts count="9">
    <numFmt numFmtId="0" formatCode="General"/>
    <numFmt numFmtId="2" formatCode="0.00"/>
    <numFmt numFmtId="1" formatCode="0"/>
    <numFmt numFmtId="164" formatCode="0.0000"/>
    <numFmt numFmtId="3" formatCode="#,##0"/>
    <numFmt numFmtId="4" formatCode="#,##0.00"/>
    <numFmt numFmtId="165" formatCode="0.000"/>
    <numFmt numFmtId="166" formatCode="₹#,##0"/>
    <numFmt numFmtId="167" formatCode="0.0"/>
  </numFmts>
  <fonts count="8">
    <font>
      <name val="Calibri"/>
      <sz val="11"/>
    </font>
    <font>
      <name val="Calibri"/>
      <b/>
      <sz val="16"/>
      <color rgb="FFFFFFFF"/>
    </font>
    <font>
      <name val="Calibri"/>
      <i/>
      <sz val="10"/>
      <color rgb="FF595959"/>
    </font>
    <font>
      <name val="Calibri"/>
      <b/>
      <sz val="12"/>
      <color rgb="FF1F4E78"/>
    </font>
    <font>
      <name val="Calibri"/>
      <b/>
      <sz val="10"/>
      <color rgb="FFFFFFFF"/>
    </font>
    <font>
      <name val="Calibri"/>
      <sz val="11"/>
      <color rgb="FF000000"/>
    </font>
    <font>
      <name val="Calibri"/>
      <b/>
      <sz val="10"/>
    </font>
    <font>
      <name val="Calibri"/>
      <sz val="10"/>
    </font>
  </fonts>
  <fills count="8">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2F5597"/>
        <bgColor rgb="FF2F5597"/>
      </patternFill>
    </fill>
    <fill>
      <patternFill patternType="solid">
        <fgColor rgb="FFFCE4D6"/>
        <bgColor rgb="FFFCE4D6"/>
      </patternFill>
    </fill>
    <fill>
      <patternFill patternType="solid">
        <fgColor rgb="FFFFF2CC"/>
        <bgColor rgb="FFFFF2CC"/>
      </patternFill>
    </fill>
    <fill>
      <patternFill patternType="solid">
        <fgColor rgb="FFF9FBFD"/>
        <bgColor rgb="FFF9FBF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medium">
        <color rgb="FF1F4E78"/>
      </left>
      <right style="thin">
        <color rgb="FFD9D9D9"/>
      </right>
      <top style="thin">
        <color rgb="FFD9D9D9"/>
      </top>
      <bottom style="thin">
        <color rgb="FFD9D9D9"/>
      </bottom>
      <diagonal/>
    </border>
  </borders>
  <cellStyleXfs count="1">
    <xf numFmtId="0" fontId="0" fillId="0" borderId="0">
      <alignment vertical="center"/>
    </xf>
  </cellStyleXfs>
  <cellXfs count="32">
    <xf numFmtId="0" fontId="0" fillId="0" borderId="0" xfId="0">
      <alignment vertical="center"/>
    </xf>
    <xf numFmtId="0" fontId="1" fillId="2" borderId="0" xfId="0" applyAlignment="1">
      <alignment horizontal="center" vertical="center"/>
    </xf>
    <xf numFmtId="0" fontId="2" fillId="0" borderId="0" xfId="0" applyAlignment="1">
      <alignment horizontal="center" vertical="center"/>
    </xf>
    <xf numFmtId="0" fontId="3" fillId="3" borderId="0" xfId="0" applyAlignment="1">
      <alignment horizontal="left" vertical="center" indent="1"/>
    </xf>
    <xf numFmtId="0" fontId="4" fillId="4" borderId="1" xfId="0" applyAlignment="1">
      <alignment horizontal="center" vertical="center"/>
    </xf>
    <xf numFmtId="0" fontId="5" fillId="0" borderId="1" xfId="0" applyAlignment="1">
      <alignment horizontal="center" vertical="center"/>
    </xf>
    <xf numFmtId="0" fontId="5" fillId="0" borderId="1" xfId="0" applyAlignment="1">
      <alignment horizontal="right" vertical="center"/>
    </xf>
    <xf numFmtId="0" fontId="6" fillId="5" borderId="1" xfId="0" applyAlignment="1">
      <alignment horizontal="right" vertical="center"/>
    </xf>
    <xf numFmtId="0" fontId="5" fillId="6" borderId="1" xfId="0" applyAlignment="1">
      <alignment horizontal="right" vertical="center"/>
    </xf>
    <xf numFmtId="0" fontId="5" fillId="0" borderId="1" xfId="0" applyAlignment="1">
      <alignment horizontal="left" vertical="center"/>
    </xf>
    <xf numFmtId="2" fontId="6" fillId="0" borderId="1" xfId="0" applyAlignment="1">
      <alignment horizontal="right" vertical="center"/>
    </xf>
    <xf numFmtId="0" fontId="7" fillId="7" borderId="2" xfId="0" applyAlignment="1">
      <alignment vertical="top" wrapText="1"/>
    </xf>
    <xf numFmtId="0" fontId="5" fillId="7" borderId="2" xfId="0" applyAlignment="1">
      <alignment vertical="bottom"/>
    </xf>
    <xf numFmtId="0" fontId="5" fillId="0" borderId="1" xfId="0" applyAlignment="1">
      <alignment horizontal="center" vertical="bottom"/>
    </xf>
    <xf numFmtId="1" fontId="5" fillId="0" borderId="1" xfId="0" applyAlignment="1">
      <alignment horizontal="right" vertical="bottom"/>
    </xf>
    <xf numFmtId="2" fontId="5" fillId="0" borderId="1" xfId="0" applyAlignment="1">
      <alignment horizontal="right" vertical="bottom"/>
    </xf>
    <xf numFmtId="164" fontId="5" fillId="0" borderId="1" xfId="0" applyAlignment="1">
      <alignment horizontal="right" vertical="bottom"/>
    </xf>
    <xf numFmtId="3" fontId="5" fillId="0" borderId="1" xfId="0" applyAlignment="1">
      <alignment horizontal="right" vertical="center"/>
    </xf>
    <xf numFmtId="0" fontId="6" fillId="0" borderId="1" xfId="0" applyAlignment="1">
      <alignment vertical="bottom"/>
    </xf>
    <xf numFmtId="0" fontId="5" fillId="0" borderId="1" xfId="0" applyAlignment="1">
      <alignment vertical="bottom"/>
    </xf>
    <xf numFmtId="4" fontId="6" fillId="0" borderId="1" xfId="0" applyAlignment="1">
      <alignment horizontal="right" vertical="center"/>
    </xf>
    <xf numFmtId="164" fontId="6" fillId="0" borderId="1" xfId="0" applyAlignment="1">
      <alignment horizontal="right" vertical="center"/>
    </xf>
    <xf numFmtId="0" fontId="6" fillId="0" borderId="0" xfId="0" applyAlignment="1">
      <alignment vertical="bottom"/>
    </xf>
    <xf numFmtId="165" fontId="5" fillId="7" borderId="1" xfId="0" applyAlignment="1">
      <alignment horizontal="right" vertical="center"/>
    </xf>
    <xf numFmtId="165" fontId="5" fillId="0" borderId="1" xfId="0" applyAlignment="1">
      <alignment horizontal="right" vertical="center"/>
    </xf>
    <xf numFmtId="165" fontId="5" fillId="6" borderId="1" xfId="0" applyAlignment="1">
      <alignment horizontal="right" vertical="center"/>
    </xf>
    <xf numFmtId="0" fontId="5" fillId="0" borderId="0" xfId="0" applyAlignment="1">
      <alignment horizontal="center" vertical="bottom"/>
    </xf>
    <xf numFmtId="166" fontId="5" fillId="0" borderId="1" xfId="0" applyAlignment="1">
      <alignment horizontal="right" vertical="center"/>
    </xf>
    <xf numFmtId="166" fontId="5" fillId="0" borderId="1" xfId="0" applyAlignment="1">
      <alignment horizontal="right" vertical="bottom"/>
    </xf>
    <xf numFmtId="0" fontId="5" fillId="6" borderId="1" xfId="0" applyAlignment="1">
      <alignment horizontal="center" vertical="center"/>
    </xf>
    <xf numFmtId="164" fontId="5" fillId="6" borderId="1" xfId="0" applyAlignment="1">
      <alignment horizontal="right" vertical="bottom"/>
    </xf>
    <xf numFmtId="167" fontId="5" fillId="0" borderId="1" xfId="0" applyAlignment="1">
      <alignment horizontal="right" vertical="bottom"/>
    </xf>
  </cellXfs>
  <cellStyles count="1">
    <cellStyle name="常规" xfId="0" builtinId="0"/>
  </cellStyles>
  <dxfs count="0"/>
  <tableStyles defaultTableStyle="TableStyleMedium9" defaultPivotStyle="PivotStyleLight16"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www.wps.cn/officeDocument/2020/cellImage" Target="cellimages.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H55"/>
  <sheetViews>
    <sheetView tabSelected="1" workbookViewId="0" zoomScale="35">
      <selection activeCell="A1" sqref="A1:G2"/>
    </sheetView>
  </sheetViews>
  <sheetFormatPr defaultRowHeight="15.0" defaultColWidth="10"/>
  <cols>
    <col min="1" max="1" customWidth="1" width="16.0" style="0"/>
    <col min="2" max="2" customWidth="1" width="32.0" style="0"/>
    <col min="3" max="3" customWidth="1" width="61.0" style="0"/>
    <col min="4" max="4" customWidth="1" width="32.0" style="0"/>
    <col min="5" max="5" customWidth="1" width="62.0" style="0"/>
    <col min="6" max="6" customWidth="1" width="63.0" style="0"/>
    <col min="7" max="7" customWidth="1" width="83.0" style="0"/>
  </cols>
  <sheetData>
    <row r="1" spans="8:8" ht="20.0" customHeight="1">
      <c r="A1" s="1" t="s">
        <v>53</v>
      </c>
    </row>
    <row r="2" spans="8:8" ht="20.0" customHeight="1"/>
    <row r="3" spans="8:8">
      <c r="A3" s="2" t="s">
        <v>54</v>
      </c>
    </row>
    <row r="4" spans="8:8" ht="24.0" customHeight="1">
      <c r="A4" s="3" t="s">
        <v>55</v>
      </c>
    </row>
    <row r="5" spans="8:8">
      <c r="A5" s="4" t="s">
        <v>56</v>
      </c>
      <c r="B5" s="4" t="s">
        <v>57</v>
      </c>
      <c r="C5" s="4" t="s">
        <v>58</v>
      </c>
      <c r="D5" s="4" t="s">
        <v>59</v>
      </c>
      <c r="E5" s="4" t="s">
        <v>60</v>
      </c>
      <c r="F5" s="4" t="s">
        <v>61</v>
      </c>
      <c r="G5" s="4" t="s">
        <v>62</v>
      </c>
    </row>
    <row r="6" spans="8:8">
      <c r="A6" s="5" t="s">
        <v>63</v>
      </c>
      <c r="B6" s="6">
        <v>25.0</v>
      </c>
      <c r="C6" s="5" t="s">
        <v>64</v>
      </c>
      <c r="D6" s="6">
        <v>22.5</v>
      </c>
      <c r="E6" s="6">
        <v>3.0</v>
      </c>
      <c r="F6" s="6">
        <v>120.0</v>
      </c>
      <c r="G6" s="5" t="s">
        <v>65</v>
      </c>
    </row>
    <row r="7" spans="8:8">
      <c r="A7" s="5" t="s">
        <v>66</v>
      </c>
      <c r="B7" s="7" t="s">
        <v>67</v>
      </c>
      <c r="C7" s="5" t="s">
        <v>68</v>
      </c>
      <c r="D7" s="6">
        <v>24.8</v>
      </c>
      <c r="E7" s="6">
        <v>5.0</v>
      </c>
      <c r="F7" s="6">
        <v>130.0</v>
      </c>
      <c r="G7" s="5" t="s">
        <v>69</v>
      </c>
    </row>
    <row r="8" spans="8:8">
      <c r="A8" s="5" t="s">
        <v>70</v>
      </c>
      <c r="B8" s="6">
        <v>42.0</v>
      </c>
      <c r="C8" s="5" t="s">
        <v>71</v>
      </c>
      <c r="D8" s="7" t="s">
        <v>67</v>
      </c>
      <c r="E8" s="6">
        <v>7.0</v>
      </c>
      <c r="F8" s="6">
        <v>135.0</v>
      </c>
      <c r="G8" s="5" t="s">
        <v>69</v>
      </c>
    </row>
    <row r="9" spans="8:8">
      <c r="A9" s="5" t="s">
        <v>72</v>
      </c>
      <c r="B9" s="8">
        <v>110.0</v>
      </c>
      <c r="C9" s="5" t="s">
        <v>73</v>
      </c>
      <c r="D9" s="6">
        <v>45.2</v>
      </c>
      <c r="E9" s="8">
        <v>50.0</v>
      </c>
      <c r="F9" s="6">
        <v>200.0</v>
      </c>
      <c r="G9" s="5" t="s">
        <v>74</v>
      </c>
    </row>
    <row r="10" spans="8:8">
      <c r="A10" s="5" t="s">
        <v>75</v>
      </c>
      <c r="B10" s="6">
        <v>36.0</v>
      </c>
      <c r="C10" s="5" t="s">
        <v>76</v>
      </c>
      <c r="D10" s="6">
        <v>29.5</v>
      </c>
      <c r="E10" s="7" t="s">
        <v>67</v>
      </c>
      <c r="F10" s="6">
        <v>140.0</v>
      </c>
      <c r="G10" s="5" t="s">
        <v>69</v>
      </c>
    </row>
    <row r="11" spans="8:8">
      <c r="A11" s="5" t="s">
        <v>77</v>
      </c>
      <c r="B11" s="6">
        <v>50.0</v>
      </c>
      <c r="C11" s="5" t="s">
        <v>78</v>
      </c>
      <c r="D11" s="6">
        <v>31.2</v>
      </c>
      <c r="E11" s="6">
        <v>12.0</v>
      </c>
      <c r="F11" s="6">
        <v>150.0</v>
      </c>
      <c r="G11" s="5" t="s">
        <v>74</v>
      </c>
    </row>
    <row r="12" spans="8:8">
      <c r="A12" s="5" t="s">
        <v>79</v>
      </c>
      <c r="B12" s="6">
        <v>29.0</v>
      </c>
      <c r="C12" s="5" t="s">
        <v>80</v>
      </c>
      <c r="D12" s="6">
        <v>21.8</v>
      </c>
      <c r="E12" s="6">
        <v>4.0</v>
      </c>
      <c r="F12" s="6">
        <v>125.0</v>
      </c>
      <c r="G12" s="5" t="s">
        <v>65</v>
      </c>
    </row>
    <row r="13" spans="8:8">
      <c r="A13" s="5" t="s">
        <v>81</v>
      </c>
      <c r="B13" s="6">
        <v>45.0</v>
      </c>
      <c r="C13" s="5" t="s">
        <v>73</v>
      </c>
      <c r="D13" s="8">
        <v>60.0</v>
      </c>
      <c r="E13" s="6">
        <v>40.0</v>
      </c>
      <c r="F13" s="6">
        <v>190.0</v>
      </c>
      <c r="G13" s="5" t="s">
        <v>74</v>
      </c>
    </row>
    <row r="15" spans="8:8" ht="24.0" customHeight="1">
      <c r="A15" s="3" t="s">
        <v>82</v>
      </c>
    </row>
    <row r="16" spans="8:8">
      <c r="A16" s="4" t="s">
        <v>83</v>
      </c>
      <c r="B16" s="4" t="s">
        <v>84</v>
      </c>
      <c r="C16" s="4" t="s">
        <v>85</v>
      </c>
      <c r="D16" s="4" t="s">
        <v>86</v>
      </c>
      <c r="E16" s="4" t="s">
        <v>87</v>
      </c>
      <c r="F16" s="4" t="s">
        <v>88</v>
      </c>
      <c r="G16" s="4" t="s">
        <v>89</v>
      </c>
    </row>
    <row r="17" spans="8:8">
      <c r="A17" s="5" t="s">
        <v>57</v>
      </c>
      <c r="B17" s="5" t="s">
        <v>90</v>
      </c>
      <c r="C17" s="5">
        <f>COUNT(B6:B13)</f>
        <v>7.0</v>
      </c>
      <c r="D17" s="9">
        <f>AVERAGE(B6:B13)</f>
        <v>48.142857142857146</v>
      </c>
      <c r="E17" s="10">
        <f>AVERAGE(B6:B13)</f>
        <v>48.142857142857146</v>
      </c>
      <c r="F17" s="9">
        <f>MEDIAN(B6:B13)</f>
        <v>42.0</v>
      </c>
      <c r="G17" s="10">
        <f>MEDIAN(B6:B13)</f>
        <v>42.0</v>
      </c>
    </row>
    <row r="18" spans="8:8">
      <c r="A18" s="5" t="s">
        <v>59</v>
      </c>
      <c r="B18" s="5" t="s">
        <v>91</v>
      </c>
      <c r="C18" s="5">
        <f>COUNT(D6:D13)</f>
        <v>7.0</v>
      </c>
      <c r="D18" s="9">
        <f>AVERAGE(D6:D13)</f>
        <v>33.57142857142857</v>
      </c>
      <c r="E18" s="10">
        <f>AVERAGE(D6:D13)</f>
        <v>33.57142857142857</v>
      </c>
      <c r="F18" s="9">
        <f>MEDIAN(D6:D13)</f>
        <v>29.5</v>
      </c>
      <c r="G18" s="10">
        <f>MEDIAN(D6:D13)</f>
        <v>29.5</v>
      </c>
    </row>
    <row r="19" spans="8:8">
      <c r="A19" s="5" t="s">
        <v>60</v>
      </c>
      <c r="B19" s="5" t="s">
        <v>92</v>
      </c>
      <c r="C19" s="5">
        <f>COUNT(E6:E13)</f>
        <v>7.0</v>
      </c>
      <c r="D19" s="9">
        <f>AVERAGE(E6:E13)</f>
        <v>17.285714285714285</v>
      </c>
      <c r="E19" s="10">
        <f>AVERAGE(E6:E13)</f>
        <v>17.285714285714285</v>
      </c>
      <c r="F19" s="9">
        <f>MEDIAN(E6:E13)</f>
        <v>7.0</v>
      </c>
      <c r="G19" s="10">
        <f>MEDIAN(E6:E13)</f>
        <v>7.0</v>
      </c>
    </row>
    <row r="21" spans="8:8">
      <c r="A21" s="11" t="s">
        <v>93</v>
      </c>
      <c r="B21" s="12"/>
      <c r="C21" s="12"/>
      <c r="D21" s="12"/>
      <c r="E21" s="12"/>
      <c r="F21" s="12"/>
      <c r="G21" s="12"/>
    </row>
    <row r="22" spans="8:8">
      <c r="A22" s="12"/>
      <c r="B22" s="12"/>
      <c r="C22" s="12"/>
      <c r="D22" s="12"/>
      <c r="E22" s="12"/>
      <c r="F22" s="12"/>
      <c r="G22" s="12"/>
    </row>
    <row r="23" spans="8:8">
      <c r="A23" s="12"/>
      <c r="B23" s="12"/>
      <c r="C23" s="12"/>
      <c r="D23" s="12"/>
      <c r="E23" s="12"/>
      <c r="F23" s="12"/>
      <c r="G23" s="12"/>
    </row>
    <row r="24" spans="8:8">
      <c r="A24" s="12"/>
      <c r="B24" s="12"/>
      <c r="C24" s="12"/>
      <c r="D24" s="12"/>
      <c r="E24" s="12"/>
      <c r="F24" s="12"/>
      <c r="G24" s="12"/>
    </row>
    <row r="26" spans="8:8" ht="24.0" customHeight="1">
      <c r="A26" s="3" t="s">
        <v>94</v>
      </c>
    </row>
    <row r="27" spans="8:8">
      <c r="A27" s="4" t="s">
        <v>56</v>
      </c>
      <c r="B27" s="4" t="s">
        <v>95</v>
      </c>
      <c r="C27" s="4" t="s">
        <v>96</v>
      </c>
      <c r="D27" s="4" t="s">
        <v>97</v>
      </c>
      <c r="E27" s="4" t="s">
        <v>98</v>
      </c>
      <c r="F27" s="4" t="s">
        <v>99</v>
      </c>
      <c r="G27" s="4" t="s">
        <v>100</v>
      </c>
    </row>
    <row r="28" spans="8:8">
      <c r="A28" s="13" t="s">
        <v>63</v>
      </c>
      <c r="B28" s="14">
        <f>IF(ISBLANK(B6),$G$17,B6)</f>
        <v>25.0</v>
      </c>
      <c r="C28" s="15" t="e">
        <f ca="1">(B28-AVERAGE($B$28:$B$35))/_xlfn.STDEV.S($B$28:$B$35)</f>
        <v>#NAME?</v>
      </c>
      <c r="D28" s="14">
        <f>IF(ISBLANK(E6),$G$19,E6)</f>
        <v>3.0</v>
      </c>
      <c r="E28" s="15" t="e">
        <f ca="1">(D28-AVERAGE($D$28:$D$35))/_xlfn.STDEV.S($D$28:$D$35)</f>
        <v>#NAME?</v>
      </c>
      <c r="F28" s="13" t="e">
        <f ca="1">IF(OR(ABS(C28)&gt;2,ABS(E28)&gt;2),"EXTREME OUTLIER","Normal")</f>
        <v>#NAME?</v>
      </c>
      <c r="G28" s="13" t="e">
        <f ca="1">IF(C28&gt;2,"Cap Age to 85",IF(E28&gt;1.5,"Cap Visits to 15","Retain Unchanged"))</f>
        <v>#NAME?</v>
      </c>
    </row>
    <row r="29" spans="8:8">
      <c r="A29" s="13" t="s">
        <v>66</v>
      </c>
      <c r="B29" s="14" t="str">
        <f>IF(ISBLANK(B7),$G$17,B7)</f>
        <v>NaN</v>
      </c>
      <c r="C29" s="15" t="e">
        <f ca="1">(B29-AVERAGE($B$28:$B$35))/_xlfn.STDEV.S($B$28:$B$35)</f>
        <v>#VALUE!</v>
      </c>
      <c r="D29" s="14">
        <f>IF(ISBLANK(E7),$G$19,E7)</f>
        <v>5.0</v>
      </c>
      <c r="E29" s="15" t="e">
        <f ca="1">(D29-AVERAGE($D$28:$D$35))/_xlfn.STDEV.S($D$28:$D$35)</f>
        <v>#NAME?</v>
      </c>
      <c r="F29" s="13" t="e">
        <f ca="1">IF(OR(ABS(C29)&gt;2,ABS(E29)&gt;2),"EXTREME OUTLIER","Normal")</f>
        <v>#VALUE!</v>
      </c>
      <c r="G29" s="13" t="e">
        <f ca="1">IF(C29&gt;2,"Cap Age to 85",IF(E29&gt;1.5,"Cap Visits to 15","Retain Unchanged"))</f>
        <v>#VALUE!</v>
      </c>
    </row>
    <row r="30" spans="8:8">
      <c r="A30" s="13" t="s">
        <v>70</v>
      </c>
      <c r="B30" s="14">
        <f>IF(ISBLANK(B8),$G$17,B8)</f>
        <v>42.0</v>
      </c>
      <c r="C30" s="15" t="e">
        <f ca="1">(B30-AVERAGE($B$28:$B$35))/_xlfn.STDEV.S($B$28:$B$35)</f>
        <v>#NAME?</v>
      </c>
      <c r="D30" s="14">
        <f>IF(ISBLANK(E8),$G$19,E8)</f>
        <v>7.0</v>
      </c>
      <c r="E30" s="15" t="e">
        <f ca="1">(D30-AVERAGE($D$28:$D$35))/_xlfn.STDEV.S($D$28:$D$35)</f>
        <v>#NAME?</v>
      </c>
      <c r="F30" s="13" t="e">
        <f ca="1">IF(OR(ABS(C30)&gt;2,ABS(E30)&gt;2),"EXTREME OUTLIER","Normal")</f>
        <v>#NAME?</v>
      </c>
      <c r="G30" s="13" t="e">
        <f ca="1">IF(C30&gt;2,"Cap Age to 85",IF(E30&gt;1.5,"Cap Visits to 15","Retain Unchanged"))</f>
        <v>#NAME?</v>
      </c>
    </row>
    <row r="31" spans="8:8">
      <c r="A31" s="13" t="s">
        <v>72</v>
      </c>
      <c r="B31" s="14">
        <f>IF(ISBLANK(B9),$G$17,B9)</f>
        <v>110.0</v>
      </c>
      <c r="C31" s="15" t="e">
        <f ca="1">(B31-AVERAGE($B$28:$B$35))/_xlfn.STDEV.S($B$28:$B$35)</f>
        <v>#NAME?</v>
      </c>
      <c r="D31" s="14">
        <f>IF(ISBLANK(E9),$G$19,E9)</f>
        <v>50.0</v>
      </c>
      <c r="E31" s="15" t="e">
        <f ca="1">(D31-AVERAGE($D$28:$D$35))/_xlfn.STDEV.S($D$28:$D$35)</f>
        <v>#NAME?</v>
      </c>
      <c r="F31" s="13" t="e">
        <f ca="1">IF(OR(ABS(C31)&gt;2,ABS(E31)&gt;2),"EXTREME OUTLIER","Normal")</f>
        <v>#NAME?</v>
      </c>
      <c r="G31" s="13" t="e">
        <f ca="1">IF(C31&gt;2,"Cap Age to 85",IF(E31&gt;1.5,"Cap Visits to 15","Retain Unchanged"))</f>
        <v>#NAME?</v>
      </c>
    </row>
    <row r="32" spans="8:8">
      <c r="A32" s="13" t="s">
        <v>75</v>
      </c>
      <c r="B32" s="14">
        <f>IF(ISBLANK(B10),$G$17,B10)</f>
        <v>36.0</v>
      </c>
      <c r="C32" s="15" t="e">
        <f ca="1">(B32-AVERAGE($B$28:$B$35))/_xlfn.STDEV.S($B$28:$B$35)</f>
        <v>#NAME?</v>
      </c>
      <c r="D32" s="14" t="str">
        <f>IF(ISBLANK(E10),$G$19,E10)</f>
        <v>NaN</v>
      </c>
      <c r="E32" s="15" t="e">
        <f ca="1">(D32-AVERAGE($D$28:$D$35))/_xlfn.STDEV.S($D$28:$D$35)</f>
        <v>#VALUE!</v>
      </c>
      <c r="F32" s="13" t="e">
        <f ca="1">IF(OR(ABS(C32)&gt;2,ABS(E32)&gt;2),"EXTREME OUTLIER","Normal")</f>
        <v>#NAME?</v>
      </c>
      <c r="G32" s="13" t="e">
        <f ca="1">IF(C32&gt;2,"Cap Age to 85",IF(E32&gt;1.5,"Cap Visits to 15","Retain Unchanged"))</f>
        <v>#NAME?</v>
      </c>
    </row>
    <row r="33" spans="8:8">
      <c r="A33" s="13" t="s">
        <v>77</v>
      </c>
      <c r="B33" s="14">
        <f>IF(ISBLANK(B11),$G$17,B11)</f>
        <v>50.0</v>
      </c>
      <c r="C33" s="15" t="e">
        <f ca="1">(B33-AVERAGE($B$28:$B$35))/_xlfn.STDEV.S($B$28:$B$35)</f>
        <v>#NAME?</v>
      </c>
      <c r="D33" s="14">
        <f>IF(ISBLANK(E11),$G$19,E11)</f>
        <v>12.0</v>
      </c>
      <c r="E33" s="15" t="e">
        <f ca="1">(D33-AVERAGE($D$28:$D$35))/_xlfn.STDEV.S($D$28:$D$35)</f>
        <v>#NAME?</v>
      </c>
      <c r="F33" s="13" t="e">
        <f ca="1">IF(OR(ABS(C33)&gt;2,ABS(E33)&gt;2),"EXTREME OUTLIER","Normal")</f>
        <v>#NAME?</v>
      </c>
      <c r="G33" s="13" t="e">
        <f ca="1">IF(C33&gt;2,"Cap Age to 85",IF(E33&gt;1.5,"Cap Visits to 15","Retain Unchanged"))</f>
        <v>#NAME?</v>
      </c>
    </row>
    <row r="34" spans="8:8">
      <c r="A34" s="13" t="s">
        <v>79</v>
      </c>
      <c r="B34" s="14">
        <f>IF(ISBLANK(B12),$G$17,B12)</f>
        <v>29.0</v>
      </c>
      <c r="C34" s="15" t="e">
        <f ca="1">(B34-AVERAGE($B$28:$B$35))/_xlfn.STDEV.S($B$28:$B$35)</f>
        <v>#NAME?</v>
      </c>
      <c r="D34" s="14">
        <f>IF(ISBLANK(E12),$G$19,E12)</f>
        <v>4.0</v>
      </c>
      <c r="E34" s="15" t="e">
        <f ca="1">(D34-AVERAGE($D$28:$D$35))/_xlfn.STDEV.S($D$28:$D$35)</f>
        <v>#NAME?</v>
      </c>
      <c r="F34" s="13" t="e">
        <f ca="1">IF(OR(ABS(C34)&gt;2,ABS(E34)&gt;2),"EXTREME OUTLIER","Normal")</f>
        <v>#NAME?</v>
      </c>
      <c r="G34" s="13" t="e">
        <f ca="1">IF(C34&gt;2,"Cap Age to 85",IF(E34&gt;1.5,"Cap Visits to 15","Retain Unchanged"))</f>
        <v>#NAME?</v>
      </c>
    </row>
    <row r="35" spans="8:8">
      <c r="A35" s="13" t="s">
        <v>81</v>
      </c>
      <c r="B35" s="14">
        <f>IF(ISBLANK(B13),$G$17,B13)</f>
        <v>45.0</v>
      </c>
      <c r="C35" s="15" t="e">
        <f ca="1">(B35-AVERAGE($B$28:$B$35))/_xlfn.STDEV.S($B$28:$B$35)</f>
        <v>#NAME?</v>
      </c>
      <c r="D35" s="14">
        <f>IF(ISBLANK(E13),$G$19,E13)</f>
        <v>40.0</v>
      </c>
      <c r="E35" s="15" t="e">
        <f ca="1">(D35-AVERAGE($D$28:$D$35))/_xlfn.STDEV.S($D$28:$D$35)</f>
        <v>#NAME?</v>
      </c>
      <c r="F35" s="13" t="e">
        <f ca="1">IF(OR(ABS(C35)&gt;2,ABS(E35)&gt;2),"EXTREME OUTLIER","Normal")</f>
        <v>#NAME?</v>
      </c>
      <c r="G35" s="13" t="e">
        <f ca="1">IF(C35&gt;2,"Cap Age to 85",IF(E35&gt;1.5,"Cap Visits to 15","Retain Unchanged"))</f>
        <v>#NAME?</v>
      </c>
    </row>
    <row r="37" spans="8:8">
      <c r="A37" s="11" t="s">
        <v>101</v>
      </c>
      <c r="B37" s="12"/>
      <c r="C37" s="12"/>
      <c r="D37" s="12"/>
      <c r="E37" s="12"/>
      <c r="F37" s="12"/>
      <c r="G37" s="12"/>
    </row>
    <row r="38" spans="8:8">
      <c r="A38" s="12"/>
      <c r="B38" s="12"/>
      <c r="C38" s="12"/>
      <c r="D38" s="12"/>
      <c r="E38" s="12"/>
      <c r="F38" s="12"/>
      <c r="G38" s="12"/>
    </row>
    <row r="39" spans="8:8">
      <c r="A39" s="12"/>
      <c r="B39" s="12"/>
      <c r="C39" s="12"/>
      <c r="D39" s="12"/>
      <c r="E39" s="12"/>
      <c r="F39" s="12"/>
      <c r="G39" s="12"/>
    </row>
    <row r="41" spans="8:8" ht="24.0" customHeight="1">
      <c r="A41" s="3" t="s">
        <v>102</v>
      </c>
    </row>
    <row r="42" spans="8:8">
      <c r="A42" s="4" t="s">
        <v>56</v>
      </c>
      <c r="B42" s="4" t="s">
        <v>103</v>
      </c>
      <c r="C42" s="4" t="s">
        <v>104</v>
      </c>
      <c r="D42" s="4" t="s">
        <v>105</v>
      </c>
      <c r="E42" s="4" t="s">
        <v>106</v>
      </c>
      <c r="F42" s="4" t="s">
        <v>107</v>
      </c>
      <c r="G42" s="4" t="s">
        <v>108</v>
      </c>
    </row>
    <row r="43" spans="8:8">
      <c r="A43" s="13" t="s">
        <v>63</v>
      </c>
      <c r="B43" s="13" t="s">
        <v>64</v>
      </c>
      <c r="C43" s="13" t="str">
        <f>IF(OR(C6="M",C6="Male",C6="male"),"Male","Female")</f>
        <v>Male</v>
      </c>
      <c r="D43" s="15">
        <f>IF(ISBLANK(D6),$G$18,D6)</f>
        <v>22.5</v>
      </c>
      <c r="E43" s="16">
        <f>(D43-MIN($D$43:$D$50))/(MAX($D$43:$D$50)-MIN($D$43:$D$50))</f>
        <v>0.018324607329842913</v>
      </c>
      <c r="F43" s="13"/>
      <c r="G43" s="13" t="s">
        <v>109</v>
      </c>
    </row>
    <row r="44" spans="8:8">
      <c r="A44" s="13" t="s">
        <v>66</v>
      </c>
      <c r="B44" s="13" t="s">
        <v>68</v>
      </c>
      <c r="C44" s="13" t="str">
        <f>IF(OR(C7="M",C7="Male",C7="male"),"Male","Female")</f>
        <v>Male</v>
      </c>
      <c r="D44" s="15">
        <f>IF(ISBLANK(D7),$G$18,D7)</f>
        <v>24.8</v>
      </c>
      <c r="E44" s="16">
        <f>(D44-MIN($D$43:$D$50))/(MAX($D$43:$D$50)-MIN($D$43:$D$50))</f>
        <v>0.07853403141361257</v>
      </c>
      <c r="F44" s="13"/>
      <c r="G44" s="13" t="s">
        <v>109</v>
      </c>
    </row>
    <row r="45" spans="8:8">
      <c r="A45" s="13" t="s">
        <v>70</v>
      </c>
      <c r="B45" s="13" t="s">
        <v>71</v>
      </c>
      <c r="C45" s="13" t="str">
        <f>IF(OR(C8="M",C8="Male",C8="male"),"Male","Female")</f>
        <v>Female</v>
      </c>
      <c r="D45" s="15" t="str">
        <f>IF(ISBLANK(D8),$G$18,D8)</f>
        <v>NaN</v>
      </c>
      <c r="E45" s="16" t="e">
        <f ca="1">(D45-MIN($D$43:$D$50))/(MAX($D$43:$D$50)-MIN($D$43:$D$50))</f>
        <v>#VALUE!</v>
      </c>
      <c r="F45" s="13"/>
      <c r="G45" s="13" t="s">
        <v>109</v>
      </c>
    </row>
    <row r="46" spans="8:8">
      <c r="A46" s="13" t="s">
        <v>72</v>
      </c>
      <c r="B46" s="13" t="s">
        <v>73</v>
      </c>
      <c r="C46" s="13" t="str">
        <f>IF(OR(C9="M",C9="Male",C9="male"),"Male","Female")</f>
        <v>Female</v>
      </c>
      <c r="D46" s="15">
        <f>IF(ISBLANK(D9),$G$18,D9)</f>
        <v>45.2</v>
      </c>
      <c r="E46" s="16">
        <f>(D46-MIN($D$43:$D$50))/(MAX($D$43:$D$50)-MIN($D$43:$D$50))</f>
        <v>0.612565445026178</v>
      </c>
      <c r="F46" s="13"/>
      <c r="G46" s="13" t="s">
        <v>109</v>
      </c>
    </row>
    <row r="47" spans="8:8">
      <c r="A47" s="13" t="s">
        <v>75</v>
      </c>
      <c r="B47" s="13" t="s">
        <v>76</v>
      </c>
      <c r="C47" s="13" t="str">
        <f>IF(OR(C10="M",C10="Male",C10="male"),"Male","Female")</f>
        <v>Female</v>
      </c>
      <c r="D47" s="15">
        <f>IF(ISBLANK(D10),$G$18,D10)</f>
        <v>29.5</v>
      </c>
      <c r="E47" s="16">
        <f>(D47-MIN($D$43:$D$50))/(MAX($D$43:$D$50)-MIN($D$43:$D$50))</f>
        <v>0.20157068062827221</v>
      </c>
      <c r="F47" s="13"/>
      <c r="G47" s="13" t="s">
        <v>109</v>
      </c>
    </row>
    <row r="48" spans="8:8">
      <c r="A48" s="13" t="s">
        <v>77</v>
      </c>
      <c r="B48" s="13" t="s">
        <v>78</v>
      </c>
      <c r="C48" s="13" t="str">
        <f>IF(OR(C11="M",C11="Male",C11="male"),"Male","Female")</f>
        <v>Female</v>
      </c>
      <c r="D48" s="15">
        <f>IF(ISBLANK(D11),$G$18,D11)</f>
        <v>31.2</v>
      </c>
      <c r="E48" s="16">
        <f>(D48-MIN($D$43:$D$50))/(MAX($D$43:$D$50)-MIN($D$43:$D$50))</f>
        <v>0.24607329842931933</v>
      </c>
      <c r="F48" s="13"/>
      <c r="G48" s="13" t="s">
        <v>109</v>
      </c>
    </row>
    <row r="49" spans="8:8">
      <c r="A49" s="13" t="s">
        <v>79</v>
      </c>
      <c r="B49" s="13" t="s">
        <v>80</v>
      </c>
      <c r="C49" s="13" t="str">
        <f>IF(OR(C12="M",C12="Male",C12="male"),"Male","Female")</f>
        <v>Male</v>
      </c>
      <c r="D49" s="15">
        <f>IF(ISBLANK(D12),$G$18,D12)</f>
        <v>21.8</v>
      </c>
      <c r="E49" s="16">
        <f>(D49-MIN($D$43:$D$50))/(MAX($D$43:$D$50)-MIN($D$43:$D$50))</f>
        <v>0.0</v>
      </c>
      <c r="F49" s="13"/>
      <c r="G49" s="13" t="s">
        <v>109</v>
      </c>
    </row>
    <row r="50" spans="8:8">
      <c r="A50" s="13" t="s">
        <v>81</v>
      </c>
      <c r="B50" s="13" t="s">
        <v>73</v>
      </c>
      <c r="C50" s="13" t="str">
        <f>IF(OR(C13="M",C13="Male",C13="male"),"Male","Female")</f>
        <v>Female</v>
      </c>
      <c r="D50" s="15">
        <f>IF(ISBLANK(D13),$G$18,D13)</f>
        <v>60.0</v>
      </c>
      <c r="E50" s="16">
        <f>(D50-MIN($D$43:$D$50))/(MAX($D$43:$D$50)-MIN($D$43:$D$50))</f>
        <v>1.0</v>
      </c>
      <c r="F50" s="13"/>
      <c r="G50" s="13" t="s">
        <v>109</v>
      </c>
    </row>
    <row r="52" spans="8:8">
      <c r="A52" s="11" t="s">
        <v>110</v>
      </c>
      <c r="B52" s="12"/>
      <c r="C52" s="12"/>
      <c r="D52" s="12"/>
      <c r="E52" s="12"/>
      <c r="F52" s="12"/>
      <c r="G52" s="12"/>
    </row>
    <row r="53" spans="8:8">
      <c r="A53" s="12"/>
      <c r="B53" s="12"/>
      <c r="C53" s="12"/>
      <c r="D53" s="12"/>
      <c r="E53" s="12"/>
      <c r="F53" s="12"/>
      <c r="G53" s="12"/>
    </row>
    <row r="54" spans="8:8">
      <c r="A54" s="12"/>
      <c r="B54" s="12"/>
      <c r="C54" s="12"/>
      <c r="D54" s="12"/>
      <c r="E54" s="12"/>
      <c r="F54" s="12"/>
      <c r="G54" s="12"/>
    </row>
    <row r="55" spans="8:8">
      <c r="A55" s="12"/>
      <c r="B55" s="12"/>
      <c r="C55" s="12"/>
      <c r="D55" s="12"/>
      <c r="E55" s="12"/>
      <c r="F55" s="12"/>
      <c r="G55" s="12"/>
    </row>
  </sheetData>
  <mergeCells count="9">
    <mergeCell ref="A1:G2"/>
    <mergeCell ref="A52:G55"/>
    <mergeCell ref="A3:G3"/>
    <mergeCell ref="A4:G4"/>
    <mergeCell ref="A26:G26"/>
    <mergeCell ref="A21:G24"/>
    <mergeCell ref="A15:G15"/>
    <mergeCell ref="A37:G39"/>
    <mergeCell ref="A41:G41"/>
  </mergeCells>
  <pageMargins left="0.75" right="0.75" top="1.0" bottom="1.0" header="0.5" footer="0.5"/>
</worksheet>
</file>

<file path=xl/worksheets/sheet2.xml><?xml version="1.0" encoding="utf-8"?>
<worksheet xmlns:r="http://schemas.openxmlformats.org/officeDocument/2006/relationships" xmlns="http://schemas.openxmlformats.org/spreadsheetml/2006/main">
  <dimension ref="A1:I56"/>
  <sheetViews>
    <sheetView workbookViewId="0">
      <selection activeCell="A1" sqref="A1:G2"/>
    </sheetView>
  </sheetViews>
  <sheetFormatPr defaultRowHeight="15.0" defaultColWidth="10"/>
  <cols>
    <col min="1" max="1" customWidth="1" width="38.0" style="0"/>
    <col min="2" max="2" customWidth="1" width="58.0" style="0"/>
    <col min="3" max="3" customWidth="1" width="58.0" style="0"/>
    <col min="4" max="4" customWidth="1" width="63.0" style="0"/>
    <col min="5" max="5" customWidth="1" width="58.0" style="0"/>
    <col min="6" max="6" customWidth="1" width="58.0" style="0"/>
    <col min="7" max="7" customWidth="1" width="58.0" style="0"/>
    <col min="8" max="8" customWidth="1" width="13.0" style="0"/>
  </cols>
  <sheetData>
    <row r="1" spans="8:8" ht="20.0" customHeight="1">
      <c r="A1" s="1" t="s">
        <v>134</v>
      </c>
    </row>
    <row r="2" spans="8:8" ht="20.0" customHeight="1"/>
    <row r="3" spans="8:8">
      <c r="A3" s="2" t="s">
        <v>135</v>
      </c>
    </row>
    <row r="4" spans="8:8" ht="24.0" customHeight="1">
      <c r="A4" s="3" t="s">
        <v>136</v>
      </c>
    </row>
    <row r="5" spans="8:8">
      <c r="A5" s="4" t="s">
        <v>137</v>
      </c>
      <c r="B5" s="4" t="s">
        <v>57</v>
      </c>
      <c r="C5" s="4" t="s">
        <v>138</v>
      </c>
      <c r="D5" s="4" t="s">
        <v>139</v>
      </c>
      <c r="E5" s="4" t="s">
        <v>140</v>
      </c>
      <c r="F5" s="4" t="s">
        <v>141</v>
      </c>
      <c r="G5" s="4" t="s">
        <v>142</v>
      </c>
      <c r="H5" s="4" t="s">
        <v>143</v>
      </c>
    </row>
    <row r="6" spans="8:8">
      <c r="A6" s="5" t="s">
        <v>144</v>
      </c>
      <c r="B6" s="6">
        <v>25.0</v>
      </c>
      <c r="C6" s="17">
        <v>35.0</v>
      </c>
      <c r="D6" s="17">
        <v>100.0</v>
      </c>
      <c r="E6" s="6">
        <v>650.0</v>
      </c>
      <c r="F6" s="17">
        <v>5000.0</v>
      </c>
      <c r="G6" s="17">
        <v>20.0</v>
      </c>
      <c r="H6" s="5" t="s">
        <v>65</v>
      </c>
    </row>
    <row r="7" spans="8:8">
      <c r="A7" s="5" t="s">
        <v>145</v>
      </c>
      <c r="B7" s="6">
        <v>32.0</v>
      </c>
      <c r="C7" s="17">
        <v>50.0</v>
      </c>
      <c r="D7" s="17">
        <v>150.0</v>
      </c>
      <c r="E7" s="6">
        <v>680.0</v>
      </c>
      <c r="F7" s="17">
        <v>7000.0</v>
      </c>
      <c r="G7" s="17">
        <v>30.0</v>
      </c>
      <c r="H7" s="5" t="s">
        <v>65</v>
      </c>
    </row>
    <row r="8" spans="8:8">
      <c r="A8" s="5" t="s">
        <v>146</v>
      </c>
      <c r="B8" s="6">
        <v>40.0</v>
      </c>
      <c r="C8" s="17">
        <v>70.0</v>
      </c>
      <c r="D8" s="17">
        <v>200.0</v>
      </c>
      <c r="E8" s="6">
        <v>720.0</v>
      </c>
      <c r="F8" s="17">
        <v>9000.0</v>
      </c>
      <c r="G8" s="17">
        <v>45.0</v>
      </c>
      <c r="H8" s="5" t="s">
        <v>69</v>
      </c>
    </row>
    <row r="9" spans="8:8">
      <c r="A9" s="5" t="s">
        <v>147</v>
      </c>
      <c r="B9" s="6">
        <v>48.0</v>
      </c>
      <c r="C9" s="17">
        <v>100.0</v>
      </c>
      <c r="D9" s="17">
        <v>300.0</v>
      </c>
      <c r="E9" s="6">
        <v>780.0</v>
      </c>
      <c r="F9" s="17">
        <v>14000.0</v>
      </c>
      <c r="G9" s="17">
        <v>70.0</v>
      </c>
      <c r="H9" s="5" t="s">
        <v>74</v>
      </c>
    </row>
    <row r="10" spans="8:8">
      <c r="A10" s="5" t="s">
        <v>148</v>
      </c>
      <c r="B10" s="6">
        <v>29.0</v>
      </c>
      <c r="C10" s="17">
        <v>42.0</v>
      </c>
      <c r="D10" s="17">
        <v>120.0</v>
      </c>
      <c r="E10" s="6">
        <v>660.0</v>
      </c>
      <c r="F10" s="17">
        <v>5500.0</v>
      </c>
      <c r="G10" s="17">
        <v>25.0</v>
      </c>
      <c r="H10" s="5" t="s">
        <v>65</v>
      </c>
    </row>
    <row r="11" spans="8:8">
      <c r="A11" s="5" t="s">
        <v>149</v>
      </c>
      <c r="B11" s="6">
        <v>38.0</v>
      </c>
      <c r="C11" s="17">
        <v>65.0</v>
      </c>
      <c r="D11" s="17">
        <v>180.0</v>
      </c>
      <c r="E11" s="6">
        <v>710.0</v>
      </c>
      <c r="F11" s="17">
        <v>8500.0</v>
      </c>
      <c r="G11" s="17">
        <v>40.0</v>
      </c>
      <c r="H11" s="5" t="s">
        <v>69</v>
      </c>
    </row>
    <row r="12" spans="8:8">
      <c r="A12" s="5" t="s">
        <v>150</v>
      </c>
      <c r="B12" s="6">
        <v>55.0</v>
      </c>
      <c r="C12" s="17">
        <v>130.0</v>
      </c>
      <c r="D12" s="17">
        <v>350.0</v>
      </c>
      <c r="E12" s="6">
        <v>820.0</v>
      </c>
      <c r="F12" s="17">
        <v>17000.0</v>
      </c>
      <c r="G12" s="17">
        <v>90.0</v>
      </c>
      <c r="H12" s="5" t="s">
        <v>74</v>
      </c>
    </row>
    <row r="13" spans="8:8">
      <c r="A13" s="5" t="s">
        <v>151</v>
      </c>
      <c r="B13" s="6">
        <v>44.0</v>
      </c>
      <c r="C13" s="17">
        <v>85.0</v>
      </c>
      <c r="D13" s="17">
        <v>250.0</v>
      </c>
      <c r="E13" s="6">
        <v>760.0</v>
      </c>
      <c r="F13" s="17">
        <v>12000.0</v>
      </c>
      <c r="G13" s="17">
        <v>60.0</v>
      </c>
      <c r="H13" s="5" t="s">
        <v>74</v>
      </c>
    </row>
    <row r="15" spans="8:8" ht="24.0" customHeight="1">
      <c r="A15" s="3" t="s">
        <v>152</v>
      </c>
    </row>
    <row r="16" spans="8:8">
      <c r="A16" s="4" t="s">
        <v>153</v>
      </c>
      <c r="B16" s="4" t="s">
        <v>154</v>
      </c>
      <c r="C16" s="4" t="s">
        <v>155</v>
      </c>
      <c r="D16" s="4" t="s">
        <v>156</v>
      </c>
      <c r="E16" s="4"/>
      <c r="F16" s="4"/>
      <c r="G16" s="4"/>
      <c r="H16" s="4"/>
    </row>
    <row r="17" spans="8:8">
      <c r="A17" s="18" t="s">
        <v>157</v>
      </c>
      <c r="B17" s="19">
        <f>AVERAGE(C6:C13)</f>
        <v>72.125</v>
      </c>
      <c r="C17" s="20">
        <f>AVERAGE(C6:C13)</f>
        <v>72.125</v>
      </c>
      <c r="D17" s="19" t="s">
        <v>158</v>
      </c>
    </row>
    <row r="18" spans="8:8">
      <c r="A18" s="18" t="s">
        <v>159</v>
      </c>
      <c r="B18" s="19">
        <f>AVERAGE(D6:D13)</f>
        <v>206.25</v>
      </c>
      <c r="C18" s="20">
        <f>AVERAGE(D6:D13)</f>
        <v>206.25</v>
      </c>
      <c r="D18" s="19" t="s">
        <v>160</v>
      </c>
    </row>
    <row r="19" spans="8:8">
      <c r="A19" s="18" t="s">
        <v>161</v>
      </c>
      <c r="B19" s="19" t="e">
        <f ca="1">_xlfn.COVARIANCE.S(C6:C13,D6:D13)</f>
        <v>#NAME?</v>
      </c>
      <c r="C19" s="20" t="e">
        <f ca="1">_xlfn.COVARIANCE.S(C6:C13,D6:D13)</f>
        <v>#NAME?</v>
      </c>
      <c r="D19" s="19" t="s">
        <v>162</v>
      </c>
    </row>
    <row r="20" spans="8:8">
      <c r="A20" s="18" t="s">
        <v>163</v>
      </c>
      <c r="B20" s="19" t="e">
        <f ca="1">_xlfn.COVARIANCE.P(C6:C13,D6:D13)</f>
        <v>#NAME?</v>
      </c>
      <c r="C20" s="20" t="e">
        <f ca="1">_xlfn.COVARIANCE.P(C6:C13,D6:D13)</f>
        <v>#NAME?</v>
      </c>
      <c r="D20" s="19" t="s">
        <v>164</v>
      </c>
    </row>
    <row r="21" spans="8:8">
      <c r="A21" s="18" t="s">
        <v>165</v>
      </c>
      <c r="B21" s="19">
        <f>CORREL(C6:C13,D6:D13)</f>
        <v>0.9935695619796662</v>
      </c>
      <c r="C21" s="21">
        <f>CORREL(C6:C13,D6:D13)</f>
        <v>0.9935695619796662</v>
      </c>
      <c r="D21" s="19" t="s">
        <v>166</v>
      </c>
    </row>
    <row r="23" spans="8:8">
      <c r="A23" s="11" t="s">
        <v>167</v>
      </c>
      <c r="B23" s="12"/>
      <c r="C23" s="12"/>
      <c r="D23" s="12"/>
      <c r="E23" s="12"/>
      <c r="F23" s="12"/>
      <c r="G23" s="12"/>
      <c r="H23" s="12"/>
    </row>
    <row r="24" spans="8:8">
      <c r="A24" s="12"/>
      <c r="B24" s="12"/>
      <c r="C24" s="12"/>
      <c r="D24" s="12"/>
      <c r="E24" s="12"/>
      <c r="F24" s="12"/>
      <c r="G24" s="12"/>
      <c r="H24" s="12"/>
    </row>
    <row r="25" spans="8:8">
      <c r="A25" s="12"/>
      <c r="B25" s="12"/>
      <c r="C25" s="12"/>
      <c r="D25" s="12"/>
      <c r="E25" s="12"/>
      <c r="F25" s="12"/>
      <c r="G25" s="12"/>
      <c r="H25" s="12"/>
    </row>
    <row r="27" spans="8:8" ht="24.0" customHeight="1">
      <c r="A27" s="3" t="s">
        <v>168</v>
      </c>
    </row>
    <row r="28" spans="8:8">
      <c r="A28" s="4" t="s">
        <v>169</v>
      </c>
      <c r="B28" s="4" t="s">
        <v>57</v>
      </c>
      <c r="C28" s="4" t="s">
        <v>138</v>
      </c>
      <c r="D28" s="4" t="s">
        <v>139</v>
      </c>
      <c r="E28" s="4" t="s">
        <v>140</v>
      </c>
      <c r="F28" s="4" t="s">
        <v>141</v>
      </c>
      <c r="G28" s="4" t="s">
        <v>142</v>
      </c>
    </row>
    <row r="29" spans="8:8">
      <c r="A29" s="22" t="s">
        <v>57</v>
      </c>
      <c r="B29" s="23">
        <f>CORREL(B6:B13,B6:B13)</f>
        <v>1.0</v>
      </c>
      <c r="C29" s="24">
        <f>CORREL(B6:B13,C6:C13)</f>
        <v>0.988908235853152</v>
      </c>
      <c r="D29" s="24">
        <f>CORREL(B6:B13,D6:D13)</f>
        <v>0.990292014131255</v>
      </c>
      <c r="E29" s="24">
        <f>CORREL(B6:B13,E6:E13)</f>
        <v>0.993724739193534</v>
      </c>
      <c r="F29" s="24">
        <f>CORREL(B6:B13,F6:F13)</f>
        <v>0.9845694790108521</v>
      </c>
      <c r="G29" s="24">
        <f>CORREL(B6:B13,G6:G13)</f>
        <v>0.9869117380706599</v>
      </c>
    </row>
    <row r="30" spans="8:8">
      <c r="A30" s="22" t="s">
        <v>138</v>
      </c>
      <c r="B30" s="24">
        <f>CORREL(C6:C13,B6:B13)</f>
        <v>0.988908235853152</v>
      </c>
      <c r="C30" s="23">
        <f>CORREL(C6:C13,C6:C13)</f>
        <v>1.0</v>
      </c>
      <c r="D30" s="25">
        <f>CORREL(C6:C13,D6:D13)</f>
        <v>0.9935695619796662</v>
      </c>
      <c r="E30" s="24">
        <f>CORREL(C6:C13,E6:E13)</f>
        <v>0.9925623309589202</v>
      </c>
      <c r="F30" s="25">
        <f>CORREL(C6:C13,F6:F13)</f>
        <v>0.9951386797955301</v>
      </c>
      <c r="G30" s="24">
        <f>CORREL(C6:C13,G6:G13)</f>
        <v>0.9978621827909735</v>
      </c>
    </row>
    <row r="31" spans="8:8">
      <c r="A31" s="22" t="s">
        <v>139</v>
      </c>
      <c r="B31" s="24">
        <f>CORREL(D6:D13,B6:B13)</f>
        <v>0.990292014131255</v>
      </c>
      <c r="C31" s="25">
        <f>CORREL(D6:D13,C6:C13)</f>
        <v>0.9935695619796662</v>
      </c>
      <c r="D31" s="23">
        <f>CORREL(D6:D13,D6:D13)</f>
        <v>1.0</v>
      </c>
      <c r="E31" s="24">
        <f>CORREL(D6:D13,E6:E13)</f>
        <v>0.9967733972052928</v>
      </c>
      <c r="F31" s="25">
        <f>CORREL(D6:D13,F6:F13)</f>
        <v>0.9978352847617168</v>
      </c>
      <c r="G31" s="24">
        <f>CORREL(D6:D13,G6:G13)</f>
        <v>0.9964514997460917</v>
      </c>
    </row>
    <row r="32" spans="8:8">
      <c r="A32" s="22" t="s">
        <v>140</v>
      </c>
      <c r="B32" s="24">
        <f>CORREL(E6:E13,B6:B13)</f>
        <v>0.993724739193534</v>
      </c>
      <c r="C32" s="24">
        <f>CORREL(E6:E13,C6:C13)</f>
        <v>0.9925623309589202</v>
      </c>
      <c r="D32" s="24">
        <f>CORREL(E6:E13,D6:D13)</f>
        <v>0.9967733972052928</v>
      </c>
      <c r="E32" s="23">
        <f>CORREL(E6:E13,E6:E13)</f>
        <v>1.0</v>
      </c>
      <c r="F32" s="24">
        <f>CORREL(E6:E13,F6:F13)</f>
        <v>0.9959688323591447</v>
      </c>
      <c r="G32" s="24">
        <f>CORREL(E6:E13,G6:G13)</f>
        <v>0.9956005596296745</v>
      </c>
    </row>
    <row r="33" spans="8:8">
      <c r="A33" s="22" t="s">
        <v>141</v>
      </c>
      <c r="B33" s="24">
        <f>CORREL(F6:F13,B6:B13)</f>
        <v>0.9845694790108521</v>
      </c>
      <c r="C33" s="25">
        <f>CORREL(F6:F13,C6:C13)</f>
        <v>0.9951386797955301</v>
      </c>
      <c r="D33" s="25">
        <f>CORREL(F6:F13,D6:D13)</f>
        <v>0.9978352847617168</v>
      </c>
      <c r="E33" s="24">
        <f>CORREL(F6:F13,E6:E13)</f>
        <v>0.9959688323591447</v>
      </c>
      <c r="F33" s="23">
        <f>CORREL(F6:F13,F6:F13)</f>
        <v>1.0</v>
      </c>
      <c r="G33" s="24">
        <f>CORREL(F6:F13,G6:G13)</f>
        <v>0.9982623792259115</v>
      </c>
    </row>
    <row r="34" spans="8:8">
      <c r="A34" s="22" t="s">
        <v>142</v>
      </c>
      <c r="B34" s="24">
        <f>CORREL(G6:G13,B6:B13)</f>
        <v>0.9869117380706599</v>
      </c>
      <c r="C34" s="24">
        <f>CORREL(G6:G13,C6:C13)</f>
        <v>0.9978621827909735</v>
      </c>
      <c r="D34" s="24">
        <f>CORREL(G6:G13,D6:D13)</f>
        <v>0.9964514997460917</v>
      </c>
      <c r="E34" s="24">
        <f>CORREL(G6:G13,E6:E13)</f>
        <v>0.9956005596296745</v>
      </c>
      <c r="F34" s="24">
        <f>CORREL(G6:G13,F6:F13)</f>
        <v>0.9982623792259115</v>
      </c>
      <c r="G34" s="23">
        <f>CORREL(G6:G13,G6:G13)</f>
        <v>1.0</v>
      </c>
    </row>
    <row r="36" spans="8:8">
      <c r="A36" s="11" t="s">
        <v>170</v>
      </c>
      <c r="B36" s="12"/>
      <c r="C36" s="12"/>
      <c r="D36" s="12"/>
      <c r="E36" s="12"/>
      <c r="F36" s="12"/>
      <c r="G36" s="12"/>
      <c r="H36" s="12"/>
    </row>
    <row r="37" spans="8:8">
      <c r="A37" s="12"/>
      <c r="B37" s="12"/>
      <c r="C37" s="12"/>
      <c r="D37" s="12"/>
      <c r="E37" s="12"/>
      <c r="F37" s="12"/>
      <c r="G37" s="12"/>
      <c r="H37" s="12"/>
    </row>
    <row r="38" spans="8:8">
      <c r="A38" s="12"/>
      <c r="B38" s="12"/>
      <c r="C38" s="12"/>
      <c r="D38" s="12"/>
      <c r="E38" s="12"/>
      <c r="F38" s="12"/>
      <c r="G38" s="12"/>
      <c r="H38" s="12"/>
    </row>
    <row r="39" spans="8:8">
      <c r="A39" s="12"/>
      <c r="B39" s="12"/>
      <c r="C39" s="12"/>
      <c r="D39" s="12"/>
      <c r="E39" s="12"/>
      <c r="F39" s="12"/>
      <c r="G39" s="12"/>
      <c r="H39" s="12"/>
    </row>
    <row r="40" spans="8:8">
      <c r="A40" s="12"/>
      <c r="B40" s="12"/>
      <c r="C40" s="12"/>
      <c r="D40" s="12"/>
      <c r="E40" s="12"/>
      <c r="F40" s="12"/>
      <c r="G40" s="12"/>
      <c r="H40" s="12"/>
    </row>
    <row r="42" spans="8:8" ht="24.0" customHeight="1">
      <c r="A42" s="3" t="s">
        <v>171</v>
      </c>
    </row>
    <row r="43" spans="8:8">
      <c r="A43" s="4" t="s">
        <v>137</v>
      </c>
      <c r="B43" s="4" t="s">
        <v>172</v>
      </c>
      <c r="C43" s="4" t="s">
        <v>173</v>
      </c>
      <c r="D43" s="4" t="s">
        <v>174</v>
      </c>
      <c r="E43" s="4" t="s">
        <v>175</v>
      </c>
      <c r="F43" s="4" t="s">
        <v>176</v>
      </c>
      <c r="G43" s="4" t="s">
        <v>177</v>
      </c>
      <c r="H43" s="4" t="s">
        <v>178</v>
      </c>
    </row>
    <row r="44" spans="8:8">
      <c r="A44" s="26" t="s">
        <v>144</v>
      </c>
      <c r="B44" s="24" t="e">
        <f ca="1">STANDARDIZE(B6,AVERAGE(B$6:B$13),_xlfn.STDEV.S(B$6:B$13))</f>
        <v>#NAME?</v>
      </c>
      <c r="C44" s="24" t="e">
        <f ca="1">STANDARDIZE(C6,AVERAGE(C$6:C$13),_xlfn.STDEV.S(C$6:C$13))</f>
        <v>#NAME?</v>
      </c>
      <c r="D44" s="24" t="e">
        <f ca="1">STANDARDIZE(D6,AVERAGE(D$6:D$13),_xlfn.STDEV.S(D$6:D$13))</f>
        <v>#NAME?</v>
      </c>
      <c r="E44" s="24" t="e">
        <f ca="1">STANDARDIZE(E6,AVERAGE(E$6:E$13),_xlfn.STDEV.S(E$6:E$13))</f>
        <v>#NAME?</v>
      </c>
      <c r="F44" s="24" t="e">
        <f ca="1">STANDARDIZE(F6,AVERAGE(F$6:F$13),_xlfn.STDEV.S(F$6:F$13))</f>
        <v>#NAME?</v>
      </c>
      <c r="G44" s="24" t="e">
        <f ca="1">STANDARDIZE(G6,AVERAGE(G$6:G$13),_xlfn.STDEV.S(G$6:G$13))</f>
        <v>#NAME?</v>
      </c>
      <c r="H44" s="26" t="s">
        <v>65</v>
      </c>
    </row>
    <row r="45" spans="8:8">
      <c r="A45" s="26" t="s">
        <v>145</v>
      </c>
      <c r="B45" s="24" t="e">
        <f ca="1">STANDARDIZE(B7,AVERAGE(B$6:B$13),_xlfn.STDEV.S(B$6:B$13))</f>
        <v>#NAME?</v>
      </c>
      <c r="C45" s="24" t="e">
        <f ca="1">STANDARDIZE(C7,AVERAGE(C$6:C$13),_xlfn.STDEV.S(C$6:C$13))</f>
        <v>#NAME?</v>
      </c>
      <c r="D45" s="24" t="e">
        <f ca="1">STANDARDIZE(D7,AVERAGE(D$6:D$13),_xlfn.STDEV.S(D$6:D$13))</f>
        <v>#NAME?</v>
      </c>
      <c r="E45" s="24" t="e">
        <f ca="1">STANDARDIZE(E7,AVERAGE(E$6:E$13),_xlfn.STDEV.S(E$6:E$13))</f>
        <v>#NAME?</v>
      </c>
      <c r="F45" s="24" t="e">
        <f ca="1">STANDARDIZE(F7,AVERAGE(F$6:F$13),_xlfn.STDEV.S(F$6:F$13))</f>
        <v>#NAME?</v>
      </c>
      <c r="G45" s="24" t="e">
        <f ca="1">STANDARDIZE(G7,AVERAGE(G$6:G$13),_xlfn.STDEV.S(G$6:G$13))</f>
        <v>#NAME?</v>
      </c>
      <c r="H45" s="26" t="s">
        <v>65</v>
      </c>
    </row>
    <row r="46" spans="8:8">
      <c r="A46" s="26" t="s">
        <v>146</v>
      </c>
      <c r="B46" s="24" t="e">
        <f ca="1">STANDARDIZE(B8,AVERAGE(B$6:B$13),_xlfn.STDEV.S(B$6:B$13))</f>
        <v>#NAME?</v>
      </c>
      <c r="C46" s="24" t="e">
        <f ca="1">STANDARDIZE(C8,AVERAGE(C$6:C$13),_xlfn.STDEV.S(C$6:C$13))</f>
        <v>#NAME?</v>
      </c>
      <c r="D46" s="24" t="e">
        <f ca="1">STANDARDIZE(D8,AVERAGE(D$6:D$13),_xlfn.STDEV.S(D$6:D$13))</f>
        <v>#NAME?</v>
      </c>
      <c r="E46" s="24" t="e">
        <f ca="1">STANDARDIZE(E8,AVERAGE(E$6:E$13),_xlfn.STDEV.S(E$6:E$13))</f>
        <v>#NAME?</v>
      </c>
      <c r="F46" s="24" t="e">
        <f ca="1">STANDARDIZE(F8,AVERAGE(F$6:F$13),_xlfn.STDEV.S(F$6:F$13))</f>
        <v>#NAME?</v>
      </c>
      <c r="G46" s="24" t="e">
        <f ca="1">STANDARDIZE(G8,AVERAGE(G$6:G$13),_xlfn.STDEV.S(G$6:G$13))</f>
        <v>#NAME?</v>
      </c>
      <c r="H46" s="26" t="s">
        <v>69</v>
      </c>
    </row>
    <row r="47" spans="8:8">
      <c r="A47" s="26" t="s">
        <v>147</v>
      </c>
      <c r="B47" s="24" t="e">
        <f ca="1">STANDARDIZE(B9,AVERAGE(B$6:B$13),_xlfn.STDEV.S(B$6:B$13))</f>
        <v>#NAME?</v>
      </c>
      <c r="C47" s="24" t="e">
        <f ca="1">STANDARDIZE(C9,AVERAGE(C$6:C$13),_xlfn.STDEV.S(C$6:C$13))</f>
        <v>#NAME?</v>
      </c>
      <c r="D47" s="24" t="e">
        <f ca="1">STANDARDIZE(D9,AVERAGE(D$6:D$13),_xlfn.STDEV.S(D$6:D$13))</f>
        <v>#NAME?</v>
      </c>
      <c r="E47" s="24" t="e">
        <f ca="1">STANDARDIZE(E9,AVERAGE(E$6:E$13),_xlfn.STDEV.S(E$6:E$13))</f>
        <v>#NAME?</v>
      </c>
      <c r="F47" s="24" t="e">
        <f ca="1">STANDARDIZE(F9,AVERAGE(F$6:F$13),_xlfn.STDEV.S(F$6:F$13))</f>
        <v>#NAME?</v>
      </c>
      <c r="G47" s="24" t="e">
        <f ca="1">STANDARDIZE(G9,AVERAGE(G$6:G$13),_xlfn.STDEV.S(G$6:G$13))</f>
        <v>#NAME?</v>
      </c>
      <c r="H47" s="26" t="s">
        <v>74</v>
      </c>
    </row>
    <row r="48" spans="8:8">
      <c r="A48" s="26" t="s">
        <v>148</v>
      </c>
      <c r="B48" s="24" t="e">
        <f ca="1">STANDARDIZE(B10,AVERAGE(B$6:B$13),_xlfn.STDEV.S(B$6:B$13))</f>
        <v>#NAME?</v>
      </c>
      <c r="C48" s="24" t="e">
        <f ca="1">STANDARDIZE(C10,AVERAGE(C$6:C$13),_xlfn.STDEV.S(C$6:C$13))</f>
        <v>#NAME?</v>
      </c>
      <c r="D48" s="24" t="e">
        <f ca="1">STANDARDIZE(D10,AVERAGE(D$6:D$13),_xlfn.STDEV.S(D$6:D$13))</f>
        <v>#NAME?</v>
      </c>
      <c r="E48" s="24" t="e">
        <f ca="1">STANDARDIZE(E10,AVERAGE(E$6:E$13),_xlfn.STDEV.S(E$6:E$13))</f>
        <v>#NAME?</v>
      </c>
      <c r="F48" s="24" t="e">
        <f ca="1">STANDARDIZE(F10,AVERAGE(F$6:F$13),_xlfn.STDEV.S(F$6:F$13))</f>
        <v>#NAME?</v>
      </c>
      <c r="G48" s="24" t="e">
        <f ca="1">STANDARDIZE(G10,AVERAGE(G$6:G$13),_xlfn.STDEV.S(G$6:G$13))</f>
        <v>#NAME?</v>
      </c>
      <c r="H48" s="26" t="s">
        <v>65</v>
      </c>
    </row>
    <row r="49" spans="8:8">
      <c r="A49" s="26" t="s">
        <v>149</v>
      </c>
      <c r="B49" s="24" t="e">
        <f ca="1">STANDARDIZE(B11,AVERAGE(B$6:B$13),_xlfn.STDEV.S(B$6:B$13))</f>
        <v>#NAME?</v>
      </c>
      <c r="C49" s="24" t="e">
        <f ca="1">STANDARDIZE(C11,AVERAGE(C$6:C$13),_xlfn.STDEV.S(C$6:C$13))</f>
        <v>#NAME?</v>
      </c>
      <c r="D49" s="24" t="e">
        <f ca="1">STANDARDIZE(D11,AVERAGE(D$6:D$13),_xlfn.STDEV.S(D$6:D$13))</f>
        <v>#NAME?</v>
      </c>
      <c r="E49" s="24" t="e">
        <f ca="1">STANDARDIZE(E11,AVERAGE(E$6:E$13),_xlfn.STDEV.S(E$6:E$13))</f>
        <v>#NAME?</v>
      </c>
      <c r="F49" s="24" t="e">
        <f ca="1">STANDARDIZE(F11,AVERAGE(F$6:F$13),_xlfn.STDEV.S(F$6:F$13))</f>
        <v>#NAME?</v>
      </c>
      <c r="G49" s="24" t="e">
        <f ca="1">STANDARDIZE(G11,AVERAGE(G$6:G$13),_xlfn.STDEV.S(G$6:G$13))</f>
        <v>#NAME?</v>
      </c>
      <c r="H49" s="26" t="s">
        <v>69</v>
      </c>
    </row>
    <row r="50" spans="8:8">
      <c r="A50" s="26" t="s">
        <v>150</v>
      </c>
      <c r="B50" s="24" t="e">
        <f ca="1">STANDARDIZE(B12,AVERAGE(B$6:B$13),_xlfn.STDEV.S(B$6:B$13))</f>
        <v>#NAME?</v>
      </c>
      <c r="C50" s="24" t="e">
        <f ca="1">STANDARDIZE(C12,AVERAGE(C$6:C$13),_xlfn.STDEV.S(C$6:C$13))</f>
        <v>#NAME?</v>
      </c>
      <c r="D50" s="24" t="e">
        <f ca="1">STANDARDIZE(D12,AVERAGE(D$6:D$13),_xlfn.STDEV.S(D$6:D$13))</f>
        <v>#NAME?</v>
      </c>
      <c r="E50" s="24" t="e">
        <f ca="1">STANDARDIZE(E12,AVERAGE(E$6:E$13),_xlfn.STDEV.S(E$6:E$13))</f>
        <v>#NAME?</v>
      </c>
      <c r="F50" s="24" t="e">
        <f ca="1">STANDARDIZE(F12,AVERAGE(F$6:F$13),_xlfn.STDEV.S(F$6:F$13))</f>
        <v>#NAME?</v>
      </c>
      <c r="G50" s="24" t="e">
        <f ca="1">STANDARDIZE(G12,AVERAGE(G$6:G$13),_xlfn.STDEV.S(G$6:G$13))</f>
        <v>#NAME?</v>
      </c>
      <c r="H50" s="26" t="s">
        <v>74</v>
      </c>
    </row>
    <row r="51" spans="8:8">
      <c r="A51" s="26" t="s">
        <v>151</v>
      </c>
      <c r="B51" s="24" t="e">
        <f ca="1">STANDARDIZE(B13,AVERAGE(B$6:B$13),_xlfn.STDEV.S(B$6:B$13))</f>
        <v>#NAME?</v>
      </c>
      <c r="C51" s="24" t="e">
        <f ca="1">STANDARDIZE(C13,AVERAGE(C$6:C$13),_xlfn.STDEV.S(C$6:C$13))</f>
        <v>#NAME?</v>
      </c>
      <c r="D51" s="24" t="e">
        <f ca="1">STANDARDIZE(D13,AVERAGE(D$6:D$13),_xlfn.STDEV.S(D$6:D$13))</f>
        <v>#NAME?</v>
      </c>
      <c r="E51" s="24" t="e">
        <f ca="1">STANDARDIZE(E13,AVERAGE(E$6:E$13),_xlfn.STDEV.S(E$6:E$13))</f>
        <v>#NAME?</v>
      </c>
      <c r="F51" s="24" t="e">
        <f ca="1">STANDARDIZE(F13,AVERAGE(F$6:F$13),_xlfn.STDEV.S(F$6:F$13))</f>
        <v>#NAME?</v>
      </c>
      <c r="G51" s="24" t="e">
        <f ca="1">STANDARDIZE(G13,AVERAGE(G$6:G$13),_xlfn.STDEV.S(G$6:G$13))</f>
        <v>#NAME?</v>
      </c>
      <c r="H51" s="26" t="s">
        <v>74</v>
      </c>
    </row>
    <row r="53" spans="8:8">
      <c r="A53" s="11" t="s">
        <v>179</v>
      </c>
      <c r="B53" s="12"/>
      <c r="C53" s="12"/>
      <c r="D53" s="12"/>
      <c r="E53" s="12"/>
      <c r="F53" s="12"/>
      <c r="G53" s="12"/>
      <c r="H53" s="12"/>
    </row>
    <row r="54" spans="8:8">
      <c r="A54" s="12"/>
      <c r="B54" s="12"/>
      <c r="C54" s="12"/>
      <c r="D54" s="12"/>
      <c r="E54" s="12"/>
      <c r="F54" s="12"/>
      <c r="G54" s="12"/>
      <c r="H54" s="12"/>
    </row>
    <row r="55" spans="8:8">
      <c r="A55" s="12"/>
      <c r="B55" s="12"/>
      <c r="C55" s="12"/>
      <c r="D55" s="12"/>
      <c r="E55" s="12"/>
      <c r="F55" s="12"/>
      <c r="G55" s="12"/>
      <c r="H55" s="12"/>
    </row>
    <row r="56" spans="8:8">
      <c r="A56" s="12"/>
      <c r="B56" s="12"/>
      <c r="C56" s="12"/>
      <c r="D56" s="12"/>
      <c r="E56" s="12"/>
      <c r="F56" s="12"/>
      <c r="G56" s="12"/>
      <c r="H56" s="12"/>
    </row>
  </sheetData>
  <mergeCells count="9">
    <mergeCell ref="A4:H4"/>
    <mergeCell ref="A15:H15"/>
    <mergeCell ref="A53:H56"/>
    <mergeCell ref="A1:G2"/>
    <mergeCell ref="A3:G3"/>
    <mergeCell ref="A23:H25"/>
    <mergeCell ref="A36:H40"/>
    <mergeCell ref="A42:H42"/>
    <mergeCell ref="A27:H27"/>
  </mergeCells>
  <pageMargins left="0.75" right="0.75" top="1.0" bottom="1.0" header="0.5" footer="0.5"/>
</worksheet>
</file>

<file path=xl/worksheets/sheet3.xml><?xml version="1.0" encoding="utf-8"?>
<worksheet xmlns:r="http://schemas.openxmlformats.org/officeDocument/2006/relationships" xmlns="http://schemas.openxmlformats.org/spreadsheetml/2006/main">
  <dimension ref="A1:H51"/>
  <sheetViews>
    <sheetView workbookViewId="0">
      <selection activeCell="A1" sqref="A1:G2"/>
    </sheetView>
  </sheetViews>
  <sheetFormatPr defaultRowHeight="15.0" defaultColWidth="10"/>
  <cols>
    <col min="1" max="1" customWidth="1" width="14.0" style="0"/>
    <col min="2" max="2" customWidth="1" width="34.0" style="0"/>
    <col min="3" max="3" customWidth="1" width="137.0" style="0"/>
    <col min="4" max="4" customWidth="1" width="82.0" style="0"/>
    <col min="5" max="5" customWidth="1" width="130.0" style="0"/>
    <col min="6" max="6" customWidth="1" width="12.0" style="0"/>
    <col min="7" max="7" customWidth="1" width="12.0" style="0"/>
  </cols>
  <sheetData>
    <row r="1" spans="8:8" ht="20.0" customHeight="1">
      <c r="A1" s="1" t="s">
        <v>214</v>
      </c>
    </row>
    <row r="2" spans="8:8" ht="20.0" customHeight="1"/>
    <row r="3" spans="8:8">
      <c r="A3" s="2" t="s">
        <v>215</v>
      </c>
    </row>
    <row r="4" spans="8:8" ht="24.0" customHeight="1">
      <c r="A4" s="3" t="s">
        <v>216</v>
      </c>
    </row>
    <row r="5" spans="8:8">
      <c r="A5" s="4" t="s">
        <v>137</v>
      </c>
      <c r="B5" s="4" t="s">
        <v>217</v>
      </c>
      <c r="C5" s="4" t="s">
        <v>218</v>
      </c>
      <c r="D5" s="4" t="s">
        <v>219</v>
      </c>
      <c r="E5" s="4" t="s">
        <v>220</v>
      </c>
    </row>
    <row r="6" spans="8:8">
      <c r="A6" s="5" t="s">
        <v>221</v>
      </c>
      <c r="B6" s="27">
        <v>500.0</v>
      </c>
      <c r="C6" s="6">
        <v>4.0</v>
      </c>
      <c r="D6" s="6">
        <v>6.0</v>
      </c>
      <c r="E6" s="5" t="s">
        <v>222</v>
      </c>
    </row>
    <row r="7" spans="8:8">
      <c r="A7" s="5" t="s">
        <v>223</v>
      </c>
      <c r="B7" s="27">
        <v>750.0</v>
      </c>
      <c r="C7" s="6">
        <v>5.0</v>
      </c>
      <c r="D7" s="6">
        <v>9.0</v>
      </c>
      <c r="E7" s="5" t="s">
        <v>222</v>
      </c>
    </row>
    <row r="8" spans="8:8">
      <c r="A8" s="5" t="s">
        <v>224</v>
      </c>
      <c r="B8" s="27">
        <v>1000.0</v>
      </c>
      <c r="C8" s="6">
        <v>7.0</v>
      </c>
      <c r="D8" s="6">
        <v>12.0</v>
      </c>
      <c r="E8" s="5" t="s">
        <v>222</v>
      </c>
    </row>
    <row r="9" spans="8:8">
      <c r="A9" s="5" t="s">
        <v>225</v>
      </c>
      <c r="B9" s="27">
        <v>1500.0</v>
      </c>
      <c r="C9" s="6">
        <v>9.0</v>
      </c>
      <c r="D9" s="6">
        <v>18.0</v>
      </c>
      <c r="E9" s="5" t="s">
        <v>226</v>
      </c>
    </row>
    <row r="10" spans="8:8">
      <c r="A10" s="5" t="s">
        <v>227</v>
      </c>
      <c r="B10" s="27">
        <v>2000.0</v>
      </c>
      <c r="C10" s="6">
        <v>12.0</v>
      </c>
      <c r="D10" s="6">
        <v>25.0</v>
      </c>
      <c r="E10" s="5" t="s">
        <v>226</v>
      </c>
    </row>
    <row r="11" spans="8:8">
      <c r="A11" s="5" t="s">
        <v>228</v>
      </c>
      <c r="B11" s="27">
        <v>2500.0</v>
      </c>
      <c r="C11" s="6">
        <v>14.0</v>
      </c>
      <c r="D11" s="6">
        <v>30.0</v>
      </c>
      <c r="E11" s="5" t="s">
        <v>229</v>
      </c>
    </row>
    <row r="12" spans="8:8">
      <c r="A12" s="5" t="s">
        <v>230</v>
      </c>
      <c r="B12" s="27">
        <v>3000.0</v>
      </c>
      <c r="C12" s="6">
        <v>16.0</v>
      </c>
      <c r="D12" s="6">
        <v>36.0</v>
      </c>
      <c r="E12" s="5" t="s">
        <v>229</v>
      </c>
    </row>
    <row r="13" spans="8:8">
      <c r="A13" s="5" t="s">
        <v>231</v>
      </c>
      <c r="B13" s="27">
        <v>4000.0</v>
      </c>
      <c r="C13" s="6">
        <v>20.0</v>
      </c>
      <c r="D13" s="6">
        <v>45.0</v>
      </c>
      <c r="E13" s="5" t="s">
        <v>229</v>
      </c>
    </row>
    <row r="14" spans="8:8">
      <c r="A14" s="5" t="s">
        <v>232</v>
      </c>
      <c r="B14" s="27">
        <v>5000.0</v>
      </c>
      <c r="C14" s="6">
        <v>25.0</v>
      </c>
      <c r="D14" s="6">
        <v>55.0</v>
      </c>
      <c r="E14" s="5" t="s">
        <v>233</v>
      </c>
    </row>
    <row r="15" spans="8:8">
      <c r="A15" s="5" t="s">
        <v>234</v>
      </c>
      <c r="B15" s="27">
        <v>6500.0</v>
      </c>
      <c r="C15" s="6">
        <v>30.0</v>
      </c>
      <c r="D15" s="6">
        <v>70.0</v>
      </c>
      <c r="E15" s="5" t="s">
        <v>233</v>
      </c>
    </row>
    <row r="17" spans="8:8" ht="24.0" customHeight="1">
      <c r="A17" s="3" t="s">
        <v>235</v>
      </c>
    </row>
    <row r="18" spans="8:8">
      <c r="A18" s="4" t="s">
        <v>236</v>
      </c>
      <c r="B18" s="4" t="s">
        <v>237</v>
      </c>
      <c r="C18" s="4" t="s">
        <v>238</v>
      </c>
      <c r="D18" s="4" t="s">
        <v>239</v>
      </c>
      <c r="E18" s="4" t="s">
        <v>240</v>
      </c>
    </row>
    <row r="19" spans="8:8">
      <c r="A19" s="5" t="s">
        <v>241</v>
      </c>
      <c r="B19" s="9" t="s">
        <v>242</v>
      </c>
      <c r="C19" s="5" t="s">
        <v>243</v>
      </c>
      <c r="D19" s="5" t="s">
        <v>244</v>
      </c>
      <c r="E19" s="5">
        <v>5.0</v>
      </c>
    </row>
    <row r="20" spans="8:8">
      <c r="A20" s="5" t="s">
        <v>245</v>
      </c>
      <c r="B20" s="9" t="s">
        <v>246</v>
      </c>
      <c r="C20" s="5" t="s">
        <v>247</v>
      </c>
      <c r="D20" s="5" t="s">
        <v>248</v>
      </c>
      <c r="E20" s="5">
        <v>2.0</v>
      </c>
    </row>
    <row r="21" spans="8:8">
      <c r="A21" s="5" t="s">
        <v>249</v>
      </c>
      <c r="B21" s="9" t="s">
        <v>246</v>
      </c>
      <c r="C21" s="5" t="s">
        <v>250</v>
      </c>
      <c r="D21" s="5" t="s">
        <v>251</v>
      </c>
      <c r="E21" s="5">
        <v>2.0</v>
      </c>
    </row>
    <row r="22" spans="8:8">
      <c r="A22" s="5" t="s">
        <v>252</v>
      </c>
      <c r="B22" s="9" t="s">
        <v>246</v>
      </c>
      <c r="C22" s="5" t="s">
        <v>253</v>
      </c>
      <c r="D22" s="5" t="s">
        <v>234</v>
      </c>
      <c r="E22" s="5">
        <v>1.0</v>
      </c>
    </row>
    <row r="25" spans="8:8" ht="24.0" customHeight="1">
      <c r="A25" s="3" t="s">
        <v>254</v>
      </c>
    </row>
    <row r="26" spans="8:8">
      <c r="A26" s="4" t="s">
        <v>236</v>
      </c>
      <c r="B26" s="4" t="s">
        <v>255</v>
      </c>
      <c r="C26" s="4" t="s">
        <v>238</v>
      </c>
      <c r="D26" s="4" t="s">
        <v>239</v>
      </c>
      <c r="E26" s="4" t="s">
        <v>240</v>
      </c>
    </row>
    <row r="27" spans="8:8">
      <c r="A27" s="5" t="s">
        <v>241</v>
      </c>
      <c r="B27" s="9" t="s">
        <v>256</v>
      </c>
      <c r="C27" s="5" t="s">
        <v>257</v>
      </c>
      <c r="D27" s="5" t="s">
        <v>258</v>
      </c>
      <c r="E27" s="5">
        <v>2.0</v>
      </c>
    </row>
    <row r="28" spans="8:8">
      <c r="A28" s="5" t="s">
        <v>245</v>
      </c>
      <c r="B28" s="9" t="s">
        <v>259</v>
      </c>
      <c r="C28" s="5" t="s">
        <v>260</v>
      </c>
      <c r="D28" s="5" t="s">
        <v>261</v>
      </c>
      <c r="E28" s="5">
        <v>3.0</v>
      </c>
    </row>
    <row r="29" spans="8:8">
      <c r="A29" s="5" t="s">
        <v>249</v>
      </c>
      <c r="B29" s="9" t="s">
        <v>256</v>
      </c>
      <c r="C29" s="5" t="s">
        <v>262</v>
      </c>
      <c r="D29" s="5" t="s">
        <v>248</v>
      </c>
      <c r="E29" s="5">
        <v>2.0</v>
      </c>
    </row>
    <row r="30" spans="8:8">
      <c r="A30" s="5" t="s">
        <v>252</v>
      </c>
      <c r="B30" s="9" t="s">
        <v>259</v>
      </c>
      <c r="C30" s="5" t="s">
        <v>263</v>
      </c>
      <c r="D30" s="5" t="s">
        <v>264</v>
      </c>
      <c r="E30" s="5">
        <v>3.0</v>
      </c>
    </row>
    <row r="33" spans="8:8" ht="24.0" customHeight="1">
      <c r="A33" s="3" t="s">
        <v>265</v>
      </c>
    </row>
    <row r="34" spans="8:8">
      <c r="A34" s="4" t="s">
        <v>137</v>
      </c>
      <c r="B34" s="4" t="s">
        <v>217</v>
      </c>
      <c r="C34" s="4" t="s">
        <v>266</v>
      </c>
      <c r="D34" s="4" t="s">
        <v>267</v>
      </c>
      <c r="E34" s="4" t="s">
        <v>268</v>
      </c>
    </row>
    <row r="35" spans="8:8">
      <c r="A35" s="13" t="s">
        <v>221</v>
      </c>
      <c r="B35" s="28">
        <f>B6</f>
        <v>500.0</v>
      </c>
      <c r="C35" s="13" t="str">
        <f>IF(B6&lt;1500,"Spend &lt; ₹1,500",IF(B6&lt;3000,"₹1,500 &lt;= Spend &lt; ₹3,000",IF(B6&lt;5000,"₹3,000 &lt;= Spend &lt; ₹5,000","Spend &gt;= ₹5,000")))</f>
        <v>Spend &lt; ₹1,500</v>
      </c>
      <c r="D35" s="13" t="str">
        <f>IF(B6&lt;1500,"Low",IF(B6&lt;3000,"Medium",IF(B6&lt;5000,"High","Very High")))</f>
        <v>Low</v>
      </c>
      <c r="E35" s="13" t="str">
        <f>IF(D35="Low","Discount Coupons",IF(D35="Medium","Cross-sell Upgrades",IF(D35="High","Loyalty Rewards","VIP Concierge")))</f>
        <v>Discount Coupons</v>
      </c>
    </row>
    <row r="36" spans="8:8">
      <c r="A36" s="13" t="s">
        <v>223</v>
      </c>
      <c r="B36" s="28">
        <f>B7</f>
        <v>750.0</v>
      </c>
      <c r="C36" s="13" t="str">
        <f>IF(B7&lt;1500,"Spend &lt; ₹1,500",IF(B7&lt;3000,"₹1,500 &lt;= Spend &lt; ₹3,000",IF(B7&lt;5000,"₹3,000 &lt;= Spend &lt; ₹5,000","Spend &gt;= ₹5,000")))</f>
        <v>Spend &lt; ₹1,500</v>
      </c>
      <c r="D36" s="13" t="str">
        <f>IF(B7&lt;1500,"Low",IF(B7&lt;3000,"Medium",IF(B7&lt;5000,"High","Very High")))</f>
        <v>Low</v>
      </c>
      <c r="E36" s="13" t="str">
        <f>IF(D36="Low","Discount Coupons",IF(D36="Medium","Cross-sell Upgrades",IF(D36="High","Loyalty Rewards","VIP Concierge")))</f>
        <v>Discount Coupons</v>
      </c>
    </row>
    <row r="37" spans="8:8">
      <c r="A37" s="13" t="s">
        <v>224</v>
      </c>
      <c r="B37" s="28">
        <f>B8</f>
        <v>1000.0</v>
      </c>
      <c r="C37" s="13" t="str">
        <f>IF(B8&lt;1500,"Spend &lt; ₹1,500",IF(B8&lt;3000,"₹1,500 &lt;= Spend &lt; ₹3,000",IF(B8&lt;5000,"₹3,000 &lt;= Spend &lt; ₹5,000","Spend &gt;= ₹5,000")))</f>
        <v>Spend &lt; ₹1,500</v>
      </c>
      <c r="D37" s="13" t="str">
        <f>IF(B8&lt;1500,"Low",IF(B8&lt;3000,"Medium",IF(B8&lt;5000,"High","Very High")))</f>
        <v>Low</v>
      </c>
      <c r="E37" s="13" t="str">
        <f>IF(D37="Low","Discount Coupons",IF(D37="Medium","Cross-sell Upgrades",IF(D37="High","Loyalty Rewards","VIP Concierge")))</f>
        <v>Discount Coupons</v>
      </c>
    </row>
    <row r="38" spans="8:8">
      <c r="A38" s="13" t="s">
        <v>225</v>
      </c>
      <c r="B38" s="28">
        <f>B9</f>
        <v>1500.0</v>
      </c>
      <c r="C38" s="13" t="str">
        <f>IF(B9&lt;1500,"Spend &lt; ₹1,500",IF(B9&lt;3000,"₹1,500 &lt;= Spend &lt; ₹3,000",IF(B9&lt;5000,"₹3,000 &lt;= Spend &lt; ₹5,000","Spend &gt;= ₹5,000")))</f>
        <v>₹1,500 &lt;= Spend &lt; ₹3,000</v>
      </c>
      <c r="D38" s="13" t="str">
        <f>IF(B9&lt;1500,"Low",IF(B9&lt;3000,"Medium",IF(B9&lt;5000,"High","Very High")))</f>
        <v>Medium</v>
      </c>
      <c r="E38" s="13" t="str">
        <f>IF(D38="Low","Discount Coupons",IF(D38="Medium","Cross-sell Upgrades",IF(D38="High","Loyalty Rewards","VIP Concierge")))</f>
        <v>Cross-sell Upgrades</v>
      </c>
    </row>
    <row r="39" spans="8:8">
      <c r="A39" s="13" t="s">
        <v>227</v>
      </c>
      <c r="B39" s="28">
        <f>B10</f>
        <v>2000.0</v>
      </c>
      <c r="C39" s="13" t="str">
        <f>IF(B10&lt;1500,"Spend &lt; ₹1,500",IF(B10&lt;3000,"₹1,500 &lt;= Spend &lt; ₹3,000",IF(B10&lt;5000,"₹3,000 &lt;= Spend &lt; ₹5,000","Spend &gt;= ₹5,000")))</f>
        <v>₹1,500 &lt;= Spend &lt; ₹3,000</v>
      </c>
      <c r="D39" s="13" t="str">
        <f>IF(B10&lt;1500,"Low",IF(B10&lt;3000,"Medium",IF(B10&lt;5000,"High","Very High")))</f>
        <v>Medium</v>
      </c>
      <c r="E39" s="13" t="str">
        <f>IF(D39="Low","Discount Coupons",IF(D39="Medium","Cross-sell Upgrades",IF(D39="High","Loyalty Rewards","VIP Concierge")))</f>
        <v>Cross-sell Upgrades</v>
      </c>
    </row>
    <row r="40" spans="8:8">
      <c r="A40" s="13" t="s">
        <v>228</v>
      </c>
      <c r="B40" s="28">
        <f>B11</f>
        <v>2500.0</v>
      </c>
      <c r="C40" s="13" t="str">
        <f>IF(B11&lt;1500,"Spend &lt; ₹1,500",IF(B11&lt;3000,"₹1,500 &lt;= Spend &lt; ₹3,000",IF(B11&lt;5000,"₹3,000 &lt;= Spend &lt; ₹5,000","Spend &gt;= ₹5,000")))</f>
        <v>₹1,500 &lt;= Spend &lt; ₹3,000</v>
      </c>
      <c r="D40" s="13" t="str">
        <f>IF(B11&lt;1500,"Low",IF(B11&lt;3000,"Medium",IF(B11&lt;5000,"High","Very High")))</f>
        <v>Medium</v>
      </c>
      <c r="E40" s="13" t="str">
        <f>IF(D40="Low","Discount Coupons",IF(D40="Medium","Cross-sell Upgrades",IF(D40="High","Loyalty Rewards","VIP Concierge")))</f>
        <v>Cross-sell Upgrades</v>
      </c>
    </row>
    <row r="41" spans="8:8">
      <c r="A41" s="13" t="s">
        <v>230</v>
      </c>
      <c r="B41" s="28">
        <f>B12</f>
        <v>3000.0</v>
      </c>
      <c r="C41" s="13" t="str">
        <f>IF(B12&lt;1500,"Spend &lt; ₹1,500",IF(B12&lt;3000,"₹1,500 &lt;= Spend &lt; ₹3,000",IF(B12&lt;5000,"₹3,000 &lt;= Spend &lt; ₹5,000","Spend &gt;= ₹5,000")))</f>
        <v>₹3,000 &lt;= Spend &lt; ₹5,000</v>
      </c>
      <c r="D41" s="13" t="str">
        <f>IF(B12&lt;1500,"Low",IF(B12&lt;3000,"Medium",IF(B12&lt;5000,"High","Very High")))</f>
        <v>High</v>
      </c>
      <c r="E41" s="13" t="str">
        <f>IF(D41="Low","Discount Coupons",IF(D41="Medium","Cross-sell Upgrades",IF(D41="High","Loyalty Rewards","VIP Concierge")))</f>
        <v>Loyalty Rewards</v>
      </c>
    </row>
    <row r="42" spans="8:8">
      <c r="A42" s="13" t="s">
        <v>231</v>
      </c>
      <c r="B42" s="28">
        <f>B13</f>
        <v>4000.0</v>
      </c>
      <c r="C42" s="13" t="str">
        <f>IF(B13&lt;1500,"Spend &lt; ₹1,500",IF(B13&lt;3000,"₹1,500 &lt;= Spend &lt; ₹3,000",IF(B13&lt;5000,"₹3,000 &lt;= Spend &lt; ₹5,000","Spend &gt;= ₹5,000")))</f>
        <v>₹3,000 &lt;= Spend &lt; ₹5,000</v>
      </c>
      <c r="D42" s="13" t="str">
        <f>IF(B13&lt;1500,"Low",IF(B13&lt;3000,"Medium",IF(B13&lt;5000,"High","Very High")))</f>
        <v>High</v>
      </c>
      <c r="E42" s="13" t="str">
        <f>IF(D42="Low","Discount Coupons",IF(D42="Medium","Cross-sell Upgrades",IF(D42="High","Loyalty Rewards","VIP Concierge")))</f>
        <v>Loyalty Rewards</v>
      </c>
    </row>
    <row r="43" spans="8:8">
      <c r="A43" s="13" t="s">
        <v>232</v>
      </c>
      <c r="B43" s="28">
        <f>B14</f>
        <v>5000.0</v>
      </c>
      <c r="C43" s="13" t="str">
        <f>IF(B14&lt;1500,"Spend &lt; ₹1,500",IF(B14&lt;3000,"₹1,500 &lt;= Spend &lt; ₹3,000",IF(B14&lt;5000,"₹3,000 &lt;= Spend &lt; ₹5,000","Spend &gt;= ₹5,000")))</f>
        <v>Spend &gt;= ₹5,000</v>
      </c>
      <c r="D43" s="13" t="str">
        <f>IF(B14&lt;1500,"Low",IF(B14&lt;3000,"Medium",IF(B14&lt;5000,"High","Very High")))</f>
        <v>Very High</v>
      </c>
      <c r="E43" s="13" t="str">
        <f>IF(D43="Low","Discount Coupons",IF(D43="Medium","Cross-sell Upgrades",IF(D43="High","Loyalty Rewards","VIP Concierge")))</f>
        <v>VIP Concierge</v>
      </c>
    </row>
    <row r="44" spans="8:8">
      <c r="A44" s="13" t="s">
        <v>234</v>
      </c>
      <c r="B44" s="28">
        <f>B15</f>
        <v>6500.0</v>
      </c>
      <c r="C44" s="13" t="str">
        <f>IF(B15&lt;1500,"Spend &lt; ₹1,500",IF(B15&lt;3000,"₹1,500 &lt;= Spend &lt; ₹3,000",IF(B15&lt;5000,"₹3,000 &lt;= Spend &lt; ₹5,000","Spend &gt;= ₹5,000")))</f>
        <v>Spend &gt;= ₹5,000</v>
      </c>
      <c r="D44" s="13" t="str">
        <f>IF(B15&lt;1500,"Low",IF(B15&lt;3000,"Medium",IF(B15&lt;5000,"High","Very High")))</f>
        <v>Very High</v>
      </c>
      <c r="E44" s="13" t="str">
        <f>IF(D44="Low","Discount Coupons",IF(D44="Medium","Cross-sell Upgrades",IF(D44="High","Loyalty Rewards","VIP Concierge")))</f>
        <v>VIP Concierge</v>
      </c>
    </row>
    <row r="46" spans="8:8" ht="24.0" customHeight="1">
      <c r="A46" s="3" t="s">
        <v>269</v>
      </c>
    </row>
    <row r="47" spans="8:8">
      <c r="A47" s="11" t="s">
        <v>270</v>
      </c>
      <c r="B47" s="12"/>
      <c r="C47" s="12"/>
      <c r="D47" s="12"/>
      <c r="E47" s="12"/>
    </row>
    <row r="48" spans="8:8">
      <c r="A48" s="12"/>
      <c r="B48" s="12"/>
      <c r="C48" s="12"/>
      <c r="D48" s="12"/>
      <c r="E48" s="12"/>
    </row>
    <row r="49" spans="8:8">
      <c r="A49" s="12"/>
      <c r="B49" s="12"/>
      <c r="C49" s="12"/>
      <c r="D49" s="12"/>
      <c r="E49" s="12"/>
    </row>
    <row r="50" spans="8:8">
      <c r="A50" s="12"/>
      <c r="B50" s="12"/>
      <c r="C50" s="12"/>
      <c r="D50" s="12"/>
      <c r="E50" s="12"/>
    </row>
    <row r="51" spans="8:8">
      <c r="A51" s="12"/>
      <c r="B51" s="12"/>
      <c r="C51" s="12"/>
      <c r="D51" s="12"/>
      <c r="E51" s="12"/>
    </row>
  </sheetData>
  <mergeCells count="8">
    <mergeCell ref="A17:G17"/>
    <mergeCell ref="A47:E51"/>
    <mergeCell ref="A46:G46"/>
    <mergeCell ref="A1:G2"/>
    <mergeCell ref="A3:G3"/>
    <mergeCell ref="A4:G4"/>
    <mergeCell ref="A25:G25"/>
    <mergeCell ref="A33:G33"/>
  </mergeCells>
  <pageMargins left="0.75" right="0.75" top="1.0" bottom="1.0" header="0.5" footer="0.5"/>
</worksheet>
</file>

<file path=xl/worksheets/sheet4.xml><?xml version="1.0" encoding="utf-8"?>
<worksheet xmlns:r="http://schemas.openxmlformats.org/officeDocument/2006/relationships" xmlns="http://schemas.openxmlformats.org/spreadsheetml/2006/main">
  <dimension ref="A1:H32"/>
  <sheetViews>
    <sheetView workbookViewId="0" topLeftCell="G1" zoomScale="39">
      <selection activeCell="A1" sqref="A1:G2"/>
    </sheetView>
  </sheetViews>
  <sheetFormatPr defaultRowHeight="15.0" defaultColWidth="10"/>
  <cols>
    <col min="1" max="1" customWidth="1" width="13.0" style="0"/>
    <col min="2" max="2" customWidth="1" width="19.0" style="0"/>
    <col min="3" max="3" customWidth="1" width="62.0" style="0"/>
    <col min="4" max="4" customWidth="1" width="28.0" style="0"/>
    <col min="5" max="5" customWidth="1" width="51.0" style="0"/>
    <col min="6" max="6" customWidth="1" width="64.0" style="0"/>
    <col min="7" max="7" customWidth="1" width="79.0" style="0"/>
  </cols>
  <sheetData>
    <row r="1" spans="8:8" ht="20.0" customHeight="1">
      <c r="A1" s="1" t="s">
        <v>111</v>
      </c>
    </row>
    <row r="2" spans="8:8" ht="20.0" customHeight="1"/>
    <row r="3" spans="8:8">
      <c r="A3" s="2" t="s">
        <v>112</v>
      </c>
    </row>
    <row r="4" spans="8:8" ht="24.0" customHeight="1">
      <c r="A4" s="3" t="s">
        <v>113</v>
      </c>
    </row>
    <row r="5" spans="8:8">
      <c r="A5" s="4" t="s">
        <v>114</v>
      </c>
      <c r="B5" s="4" t="s">
        <v>115</v>
      </c>
      <c r="C5" s="4" t="s">
        <v>116</v>
      </c>
      <c r="D5" s="4" t="s">
        <v>117</v>
      </c>
    </row>
    <row r="6" spans="8:8">
      <c r="A6" s="5" t="s">
        <v>118</v>
      </c>
      <c r="B6" s="6">
        <v>55.0</v>
      </c>
      <c r="C6" s="6">
        <v>100.0</v>
      </c>
      <c r="D6" s="6">
        <v>2.1</v>
      </c>
    </row>
    <row r="7" spans="8:8">
      <c r="A7" s="5" t="s">
        <v>119</v>
      </c>
      <c r="B7" s="6">
        <v>60.0</v>
      </c>
      <c r="C7" s="6">
        <v>120.0</v>
      </c>
      <c r="D7" s="6">
        <v>2.5</v>
      </c>
    </row>
    <row r="8" spans="8:8">
      <c r="A8" s="5" t="s">
        <v>120</v>
      </c>
      <c r="B8" s="6">
        <v>62.0</v>
      </c>
      <c r="C8" s="6">
        <v>140.0</v>
      </c>
      <c r="D8" s="6">
        <v>2.8</v>
      </c>
    </row>
    <row r="9" spans="8:8">
      <c r="A9" s="5" t="s">
        <v>121</v>
      </c>
      <c r="B9" s="6">
        <v>65.0</v>
      </c>
      <c r="C9" s="6">
        <v>160.0</v>
      </c>
      <c r="D9" s="6">
        <v>3.0</v>
      </c>
    </row>
    <row r="10" spans="8:8">
      <c r="A10" s="5" t="s">
        <v>122</v>
      </c>
      <c r="B10" s="6">
        <v>70.0</v>
      </c>
      <c r="C10" s="6">
        <v>180.0</v>
      </c>
      <c r="D10" s="6">
        <v>3.2</v>
      </c>
    </row>
    <row r="11" spans="8:8">
      <c r="A11" s="5" t="s">
        <v>123</v>
      </c>
      <c r="B11" s="6">
        <v>75.0</v>
      </c>
      <c r="C11" s="6">
        <v>200.0</v>
      </c>
      <c r="D11" s="6">
        <v>3.8</v>
      </c>
    </row>
    <row r="12" spans="8:8">
      <c r="A12" s="5" t="s">
        <v>124</v>
      </c>
      <c r="B12" s="6">
        <v>80.0</v>
      </c>
      <c r="C12" s="6">
        <v>220.0</v>
      </c>
      <c r="D12" s="6">
        <v>4.1</v>
      </c>
    </row>
    <row r="13" spans="8:8">
      <c r="A13" s="29" t="s">
        <v>125</v>
      </c>
      <c r="B13" s="8">
        <v>120.0</v>
      </c>
      <c r="C13" s="8">
        <v>250.0</v>
      </c>
      <c r="D13" s="8">
        <v>8.5</v>
      </c>
    </row>
    <row r="15" spans="8:8" ht="24.0" customHeight="1">
      <c r="A15" s="3" t="s">
        <v>126</v>
      </c>
    </row>
    <row r="16" spans="8:8">
      <c r="A16" s="4" t="s">
        <v>114</v>
      </c>
      <c r="B16" s="4" t="s">
        <v>115</v>
      </c>
      <c r="C16" s="4" t="s">
        <v>127</v>
      </c>
      <c r="D16" s="4" t="s">
        <v>128</v>
      </c>
      <c r="E16" s="4" t="s">
        <v>129</v>
      </c>
      <c r="F16" s="4" t="s">
        <v>130</v>
      </c>
      <c r="G16" s="4" t="s">
        <v>131</v>
      </c>
    </row>
    <row r="17" spans="8:8">
      <c r="A17" s="13" t="s">
        <v>118</v>
      </c>
      <c r="B17" s="14">
        <f>B6</f>
        <v>55.0</v>
      </c>
      <c r="C17" s="16">
        <f>(B17-MIN($B$17:$B$24))/(MAX($B$17:$B$24)-MIN($B$17:$B$24))</f>
        <v>0.0</v>
      </c>
      <c r="D17" s="13"/>
      <c r="E17" s="16" t="e">
        <f ca="1">(B17-AVERAGE($B$17:$B$24))/_xlfn.STDEV.S($B$17:$B$24)</f>
        <v>#NAME?</v>
      </c>
      <c r="F17" s="13" t="e">
        <f ca="1">STANDARDIZE(B17,AVERAGE($B$17:$B$24),_xlfn.STDEV.S($B$17:$B$24))</f>
        <v>#NAME?</v>
      </c>
      <c r="G17" s="13" t="e">
        <f ca="1">IF(C17=1,"MAX OBSERVATION (1.00)",IF(E17&gt;2,"EXTREME ANOMALY","Normal"))</f>
        <v>#NAME?</v>
      </c>
    </row>
    <row r="18" spans="8:8">
      <c r="A18" s="13" t="s">
        <v>119</v>
      </c>
      <c r="B18" s="14">
        <f>B7</f>
        <v>60.0</v>
      </c>
      <c r="C18" s="16">
        <f>(B18-MIN($B$17:$B$24))/(MAX($B$17:$B$24)-MIN($B$17:$B$24))</f>
        <v>0.07692307692307693</v>
      </c>
      <c r="D18" s="13"/>
      <c r="E18" s="16" t="e">
        <f ca="1">(B18-AVERAGE($B$17:$B$24))/_xlfn.STDEV.S($B$17:$B$24)</f>
        <v>#NAME?</v>
      </c>
      <c r="F18" s="13" t="e">
        <f ca="1">STANDARDIZE(B18,AVERAGE($B$17:$B$24),_xlfn.STDEV.S($B$17:$B$24))</f>
        <v>#NAME?</v>
      </c>
      <c r="G18" s="13" t="e">
        <f ca="1">IF(C18=1,"MAX OBSERVATION (1.00)",IF(E18&gt;2,"EXTREME ANOMALY","Normal"))</f>
        <v>#NAME?</v>
      </c>
    </row>
    <row r="19" spans="8:8">
      <c r="A19" s="13" t="s">
        <v>120</v>
      </c>
      <c r="B19" s="14">
        <f>B8</f>
        <v>62.0</v>
      </c>
      <c r="C19" s="16">
        <f>(B19-MIN($B$17:$B$24))/(MAX($B$17:$B$24)-MIN($B$17:$B$24))</f>
        <v>0.1076923076923077</v>
      </c>
      <c r="D19" s="13"/>
      <c r="E19" s="16" t="e">
        <f ca="1">(B19-AVERAGE($B$17:$B$24))/_xlfn.STDEV.S($B$17:$B$24)</f>
        <v>#NAME?</v>
      </c>
      <c r="F19" s="13" t="e">
        <f ca="1">STANDARDIZE(B19,AVERAGE($B$17:$B$24),_xlfn.STDEV.S($B$17:$B$24))</f>
        <v>#NAME?</v>
      </c>
      <c r="G19" s="13" t="e">
        <f ca="1">IF(C19=1,"MAX OBSERVATION (1.00)",IF(E19&gt;2,"EXTREME ANOMALY","Normal"))</f>
        <v>#NAME?</v>
      </c>
    </row>
    <row r="20" spans="8:8">
      <c r="A20" s="13" t="s">
        <v>121</v>
      </c>
      <c r="B20" s="14">
        <f>B9</f>
        <v>65.0</v>
      </c>
      <c r="C20" s="16">
        <f>(B20-MIN($B$17:$B$24))/(MAX($B$17:$B$24)-MIN($B$17:$B$24))</f>
        <v>0.15384615384615385</v>
      </c>
      <c r="D20" s="13"/>
      <c r="E20" s="16" t="e">
        <f ca="1">(B20-AVERAGE($B$17:$B$24))/_xlfn.STDEV.S($B$17:$B$24)</f>
        <v>#NAME?</v>
      </c>
      <c r="F20" s="13" t="e">
        <f ca="1">STANDARDIZE(B20,AVERAGE($B$17:$B$24),_xlfn.STDEV.S($B$17:$B$24))</f>
        <v>#NAME?</v>
      </c>
      <c r="G20" s="13" t="e">
        <f ca="1">IF(C20=1,"MAX OBSERVATION (1.00)",IF(E20&gt;2,"EXTREME ANOMALY","Normal"))</f>
        <v>#NAME?</v>
      </c>
    </row>
    <row r="21" spans="8:8">
      <c r="A21" s="13" t="s">
        <v>122</v>
      </c>
      <c r="B21" s="14">
        <f>B10</f>
        <v>70.0</v>
      </c>
      <c r="C21" s="16">
        <f>(B21-MIN($B$17:$B$24))/(MAX($B$17:$B$24)-MIN($B$17:$B$24))</f>
        <v>0.23076923076923078</v>
      </c>
      <c r="D21" s="13"/>
      <c r="E21" s="16" t="e">
        <f ca="1">(B21-AVERAGE($B$17:$B$24))/_xlfn.STDEV.S($B$17:$B$24)</f>
        <v>#NAME?</v>
      </c>
      <c r="F21" s="13" t="e">
        <f ca="1">STANDARDIZE(B21,AVERAGE($B$17:$B$24),_xlfn.STDEV.S($B$17:$B$24))</f>
        <v>#NAME?</v>
      </c>
      <c r="G21" s="13" t="e">
        <f ca="1">IF(C21=1,"MAX OBSERVATION (1.00)",IF(E21&gt;2,"EXTREME ANOMALY","Normal"))</f>
        <v>#NAME?</v>
      </c>
    </row>
    <row r="22" spans="8:8">
      <c r="A22" s="13" t="s">
        <v>123</v>
      </c>
      <c r="B22" s="14">
        <f>B11</f>
        <v>75.0</v>
      </c>
      <c r="C22" s="16">
        <f>(B22-MIN($B$17:$B$24))/(MAX($B$17:$B$24)-MIN($B$17:$B$24))</f>
        <v>0.3076923076923077</v>
      </c>
      <c r="D22" s="13"/>
      <c r="E22" s="16" t="e">
        <f ca="1">(B22-AVERAGE($B$17:$B$24))/_xlfn.STDEV.S($B$17:$B$24)</f>
        <v>#NAME?</v>
      </c>
      <c r="F22" s="13" t="e">
        <f ca="1">STANDARDIZE(B22,AVERAGE($B$17:$B$24),_xlfn.STDEV.S($B$17:$B$24))</f>
        <v>#NAME?</v>
      </c>
      <c r="G22" s="13" t="e">
        <f ca="1">IF(C22=1,"MAX OBSERVATION (1.00)",IF(E22&gt;2,"EXTREME ANOMALY","Normal"))</f>
        <v>#NAME?</v>
      </c>
    </row>
    <row r="23" spans="8:8">
      <c r="A23" s="13" t="s">
        <v>124</v>
      </c>
      <c r="B23" s="14">
        <f>B12</f>
        <v>80.0</v>
      </c>
      <c r="C23" s="16">
        <f>(B23-MIN($B$17:$B$24))/(MAX($B$17:$B$24)-MIN($B$17:$B$24))</f>
        <v>0.38461538461538464</v>
      </c>
      <c r="D23" s="13"/>
      <c r="E23" s="16" t="e">
        <f ca="1">(B23-AVERAGE($B$17:$B$24))/_xlfn.STDEV.S($B$17:$B$24)</f>
        <v>#NAME?</v>
      </c>
      <c r="F23" s="13" t="e">
        <f ca="1">STANDARDIZE(B23,AVERAGE($B$17:$B$24),_xlfn.STDEV.S($B$17:$B$24))</f>
        <v>#NAME?</v>
      </c>
      <c r="G23" s="13" t="e">
        <f ca="1">IF(C23=1,"MAX OBSERVATION (1.00)",IF(E23&gt;2,"EXTREME ANOMALY","Normal"))</f>
        <v>#NAME?</v>
      </c>
    </row>
    <row r="24" spans="8:8">
      <c r="A24" s="13" t="s">
        <v>125</v>
      </c>
      <c r="B24" s="14">
        <f>B13</f>
        <v>120.0</v>
      </c>
      <c r="C24" s="30">
        <f>(B24-MIN($B$17:$B$24))/(MAX($B$17:$B$24)-MIN($B$17:$B$24))</f>
        <v>1.0</v>
      </c>
      <c r="D24" s="13"/>
      <c r="E24" s="30" t="e">
        <f ca="1">(B24-AVERAGE($B$17:$B$24))/_xlfn.STDEV.S($B$17:$B$24)</f>
        <v>#NAME?</v>
      </c>
      <c r="F24" s="13" t="e">
        <f ca="1">STANDARDIZE(B24,AVERAGE($B$17:$B$24),_xlfn.STDEV.S($B$17:$B$24))</f>
        <v>#NAME?</v>
      </c>
      <c r="G24" s="13" t="str">
        <f>IF(C24=1,"MAX OBSERVATION (1.00)",IF(E24&gt;2,"EXTREME ANOMALY","Normal"))</f>
        <v>MAX OBSERVATION (1.00)</v>
      </c>
    </row>
    <row r="26" spans="8:8" ht="24.0" customHeight="1">
      <c r="A26" s="3" t="s">
        <v>132</v>
      </c>
    </row>
    <row r="27" spans="8:8">
      <c r="A27" s="11" t="s">
        <v>133</v>
      </c>
      <c r="B27" s="12"/>
      <c r="C27" s="12"/>
      <c r="D27" s="12"/>
      <c r="E27" s="12"/>
      <c r="F27" s="12"/>
      <c r="G27" s="12"/>
    </row>
    <row r="28" spans="8:8">
      <c r="A28" s="12"/>
      <c r="B28" s="12"/>
      <c r="C28" s="12"/>
      <c r="D28" s="12"/>
      <c r="E28" s="12"/>
      <c r="F28" s="12"/>
      <c r="G28" s="12"/>
    </row>
    <row r="29" spans="8:8">
      <c r="A29" s="12"/>
      <c r="B29" s="12"/>
      <c r="C29" s="12"/>
      <c r="D29" s="12"/>
      <c r="E29" s="12"/>
      <c r="F29" s="12"/>
      <c r="G29" s="12"/>
    </row>
    <row r="30" spans="8:8">
      <c r="A30" s="12"/>
      <c r="B30" s="12"/>
      <c r="C30" s="12"/>
      <c r="D30" s="12"/>
      <c r="E30" s="12"/>
      <c r="F30" s="12"/>
      <c r="G30" s="12"/>
    </row>
    <row r="31" spans="8:8">
      <c r="A31" s="12"/>
      <c r="B31" s="12"/>
      <c r="C31" s="12"/>
      <c r="D31" s="12"/>
      <c r="E31" s="12"/>
      <c r="F31" s="12"/>
      <c r="G31" s="12"/>
    </row>
    <row r="32" spans="8:8">
      <c r="A32" s="12"/>
      <c r="B32" s="12"/>
      <c r="C32" s="12"/>
      <c r="D32" s="12"/>
      <c r="E32" s="12"/>
      <c r="F32" s="12"/>
      <c r="G32" s="12"/>
    </row>
  </sheetData>
  <mergeCells count="6">
    <mergeCell ref="A1:G2"/>
    <mergeCell ref="A27:G32"/>
    <mergeCell ref="A3:G3"/>
    <mergeCell ref="A4:G4"/>
    <mergeCell ref="A26:G26"/>
    <mergeCell ref="A15:G15"/>
  </mergeCells>
  <pageMargins left="0.75" right="0.75" top="1.0" bottom="1.0" header="0.5" footer="0.5"/>
</worksheet>
</file>

<file path=xl/worksheets/sheet5.xml><?xml version="1.0" encoding="utf-8"?>
<worksheet xmlns:r="http://schemas.openxmlformats.org/officeDocument/2006/relationships" xmlns="http://schemas.openxmlformats.org/spreadsheetml/2006/main">
  <dimension ref="A1:H39"/>
  <sheetViews>
    <sheetView workbookViewId="0">
      <selection activeCell="A1" sqref="A1:G2"/>
    </sheetView>
  </sheetViews>
  <sheetFormatPr defaultRowHeight="15.0" defaultColWidth="10"/>
  <cols>
    <col min="1" max="1" customWidth="1" width="19.0" style="0"/>
    <col min="2" max="2" customWidth="1" width="32.0" style="0"/>
    <col min="3" max="3" customWidth="1" width="62.0" style="0"/>
    <col min="4" max="4" customWidth="1" width="32.0" style="0"/>
    <col min="5" max="5" customWidth="1" width="51.0" style="0"/>
    <col min="6" max="6" customWidth="1" width="84.0" style="0"/>
    <col min="7" max="7" customWidth="1" width="70.0" style="0"/>
  </cols>
  <sheetData>
    <row r="1" spans="8:8" ht="20.0" customHeight="1">
      <c r="A1" s="1" t="s">
        <v>271</v>
      </c>
    </row>
    <row r="2" spans="8:8" ht="20.0" customHeight="1"/>
    <row r="3" spans="8:8">
      <c r="A3" s="2" t="s">
        <v>272</v>
      </c>
    </row>
    <row r="4" spans="8:8" ht="24.0" customHeight="1">
      <c r="A4" s="3" t="s">
        <v>273</v>
      </c>
    </row>
    <row r="5" spans="8:8">
      <c r="A5" s="4" t="s">
        <v>274</v>
      </c>
      <c r="B5" s="4" t="s">
        <v>275</v>
      </c>
      <c r="C5" s="4" t="s">
        <v>276</v>
      </c>
      <c r="D5" s="4" t="s">
        <v>277</v>
      </c>
      <c r="E5" s="4" t="s">
        <v>278</v>
      </c>
      <c r="F5" s="4" t="s">
        <v>279</v>
      </c>
    </row>
    <row r="6" spans="8:8">
      <c r="A6" s="5" t="s">
        <v>280</v>
      </c>
      <c r="B6" s="6">
        <v>2.0</v>
      </c>
      <c r="C6" s="6">
        <v>55.0</v>
      </c>
      <c r="D6" s="6">
        <v>70.0</v>
      </c>
      <c r="E6" s="6">
        <v>60.0</v>
      </c>
      <c r="F6" s="5" t="s">
        <v>281</v>
      </c>
    </row>
    <row r="7" spans="8:8">
      <c r="A7" s="5" t="s">
        <v>282</v>
      </c>
      <c r="B7" s="6">
        <v>3.0</v>
      </c>
      <c r="C7" s="7" t="s">
        <v>67</v>
      </c>
      <c r="D7" s="6">
        <v>75.0</v>
      </c>
      <c r="E7" s="6">
        <v>65.0</v>
      </c>
      <c r="F7" s="5" t="s">
        <v>281</v>
      </c>
    </row>
    <row r="8" spans="8:8">
      <c r="A8" s="5" t="s">
        <v>283</v>
      </c>
      <c r="B8" s="6">
        <v>4.0</v>
      </c>
      <c r="C8" s="6">
        <v>68.0</v>
      </c>
      <c r="D8" s="7" t="s">
        <v>67</v>
      </c>
      <c r="E8" s="6">
        <v>72.0</v>
      </c>
      <c r="F8" s="5" t="s">
        <v>284</v>
      </c>
    </row>
    <row r="9" spans="8:8">
      <c r="A9" s="5" t="s">
        <v>285</v>
      </c>
      <c r="B9" s="6">
        <v>5.0</v>
      </c>
      <c r="C9" s="6">
        <v>75.0</v>
      </c>
      <c r="D9" s="6">
        <v>85.0</v>
      </c>
      <c r="E9" s="6">
        <v>78.0</v>
      </c>
      <c r="F9" s="5" t="s">
        <v>284</v>
      </c>
    </row>
    <row r="10" spans="8:8">
      <c r="A10" s="5" t="s">
        <v>286</v>
      </c>
      <c r="B10" s="7" t="s">
        <v>67</v>
      </c>
      <c r="C10" s="6">
        <v>80.0</v>
      </c>
      <c r="D10" s="6">
        <v>90.0</v>
      </c>
      <c r="E10" s="6">
        <v>82.0</v>
      </c>
      <c r="F10" s="5" t="s">
        <v>287</v>
      </c>
    </row>
    <row r="11" spans="8:8">
      <c r="A11" s="5" t="s">
        <v>288</v>
      </c>
      <c r="B11" s="6">
        <v>7.0</v>
      </c>
      <c r="C11" s="6">
        <v>88.0</v>
      </c>
      <c r="D11" s="6">
        <v>92.0</v>
      </c>
      <c r="E11" s="7" t="s">
        <v>67</v>
      </c>
      <c r="F11" s="5" t="s">
        <v>287</v>
      </c>
    </row>
    <row r="12" spans="8:8">
      <c r="A12" s="5" t="s">
        <v>289</v>
      </c>
      <c r="B12" s="6">
        <v>8.0</v>
      </c>
      <c r="C12" s="6">
        <v>92.0</v>
      </c>
      <c r="D12" s="6">
        <v>95.0</v>
      </c>
      <c r="E12" s="6">
        <v>90.0</v>
      </c>
      <c r="F12" s="5" t="s">
        <v>287</v>
      </c>
    </row>
    <row r="13" spans="8:8">
      <c r="A13" s="5" t="s">
        <v>290</v>
      </c>
      <c r="B13" s="6">
        <v>12.0</v>
      </c>
      <c r="C13" s="6">
        <v>98.0</v>
      </c>
      <c r="D13" s="6">
        <v>98.0</v>
      </c>
      <c r="E13" s="6">
        <v>95.0</v>
      </c>
      <c r="F13" s="5" t="s">
        <v>287</v>
      </c>
    </row>
    <row r="15" spans="8:8" ht="24.0" customHeight="1">
      <c r="A15" s="3" t="s">
        <v>291</v>
      </c>
    </row>
    <row r="16" spans="8:8">
      <c r="A16" s="4" t="s">
        <v>83</v>
      </c>
      <c r="B16" s="4" t="s">
        <v>84</v>
      </c>
      <c r="C16" s="4" t="s">
        <v>292</v>
      </c>
      <c r="D16" s="4" t="s">
        <v>293</v>
      </c>
      <c r="E16" s="4" t="s">
        <v>294</v>
      </c>
      <c r="F16" s="4" t="s">
        <v>295</v>
      </c>
    </row>
    <row r="17" spans="8:8">
      <c r="A17" s="5" t="s">
        <v>275</v>
      </c>
      <c r="B17" s="5" t="s">
        <v>296</v>
      </c>
      <c r="C17" s="10">
        <f>AVERAGE(B6:B13)</f>
        <v>5.857142857142857</v>
      </c>
      <c r="D17" s="10">
        <f>MEDIAN(B6:B13)</f>
        <v>5.0</v>
      </c>
      <c r="E17" s="5" t="s">
        <v>297</v>
      </c>
      <c r="F17" s="9" t="s">
        <v>298</v>
      </c>
    </row>
    <row r="18" spans="8:8">
      <c r="A18" s="5" t="s">
        <v>276</v>
      </c>
      <c r="B18" s="5" t="s">
        <v>299</v>
      </c>
      <c r="C18" s="10">
        <f>AVERAGE(C6:C13)</f>
        <v>79.42857142857143</v>
      </c>
      <c r="D18" s="10">
        <f>MEDIAN(C6:C13)</f>
        <v>80.0</v>
      </c>
      <c r="E18" s="5" t="s">
        <v>300</v>
      </c>
      <c r="F18" s="9" t="s">
        <v>301</v>
      </c>
    </row>
    <row r="19" spans="8:8">
      <c r="A19" s="5" t="s">
        <v>277</v>
      </c>
      <c r="B19" s="5" t="s">
        <v>302</v>
      </c>
      <c r="C19" s="10">
        <f>AVERAGE(D6:D13)</f>
        <v>86.42857142857143</v>
      </c>
      <c r="D19" s="10">
        <f>MEDIAN(D6:D13)</f>
        <v>90.0</v>
      </c>
      <c r="E19" s="5" t="s">
        <v>303</v>
      </c>
      <c r="F19" s="9" t="s">
        <v>304</v>
      </c>
    </row>
    <row r="20" spans="8:8">
      <c r="A20" s="5" t="s">
        <v>278</v>
      </c>
      <c r="B20" s="5" t="s">
        <v>305</v>
      </c>
      <c r="C20" s="10">
        <f>AVERAGE(E6:E13)</f>
        <v>77.42857142857143</v>
      </c>
      <c r="D20" s="10">
        <f>MEDIAN(E6:E13)</f>
        <v>78.0</v>
      </c>
      <c r="E20" s="5" t="s">
        <v>306</v>
      </c>
      <c r="F20" s="9" t="s">
        <v>307</v>
      </c>
    </row>
    <row r="23" spans="8:8" ht="24.0" customHeight="1">
      <c r="A23" s="3" t="s">
        <v>308</v>
      </c>
    </row>
    <row r="24" spans="8:8">
      <c r="A24" s="4" t="s">
        <v>274</v>
      </c>
      <c r="B24" s="4" t="s">
        <v>309</v>
      </c>
      <c r="C24" s="4" t="s">
        <v>310</v>
      </c>
      <c r="D24" s="4" t="s">
        <v>311</v>
      </c>
      <c r="E24" s="4" t="s">
        <v>312</v>
      </c>
      <c r="F24" s="4" t="s">
        <v>313</v>
      </c>
      <c r="G24" s="4" t="s">
        <v>314</v>
      </c>
    </row>
    <row r="25" spans="8:8">
      <c r="A25" s="13" t="s">
        <v>280</v>
      </c>
      <c r="B25" s="31">
        <f>IF(ISBLANK(C6),$D$18,C6)</f>
        <v>55.0</v>
      </c>
      <c r="C25" s="16">
        <f>(B25-MIN($B$25:$B$32))/(MAX($B$25:$B$32)-MIN($B$25:$B$32))</f>
        <v>0.0</v>
      </c>
      <c r="D25" s="31">
        <f>IF(ISBLANK(E6),$C$20,E6)</f>
        <v>60.0</v>
      </c>
      <c r="E25" s="16" t="e">
        <f ca="1">(D25-AVERAGE($D$25:$D$32))/_xlfn.STDEV.S($D$25:$D$32)</f>
        <v>#NAME?</v>
      </c>
      <c r="F25" s="31">
        <f>IF(ISBLANK(B6),$D$17,B6)</f>
        <v>2.0</v>
      </c>
      <c r="G25" s="13" t="str">
        <f>IF(F25&lt;4,"Low (&lt;4h)",IF(F25&lt;=7,"Medium (4-7h)","High (&gt;=8h)"))</f>
        <v>Low (&lt;4h)</v>
      </c>
    </row>
    <row r="26" spans="8:8">
      <c r="A26" s="13" t="s">
        <v>282</v>
      </c>
      <c r="B26" s="31" t="str">
        <f>IF(ISBLANK(C7),$D$18,C7)</f>
        <v>NaN</v>
      </c>
      <c r="C26" s="16" t="e">
        <f ca="1">(B26-MIN($B$25:$B$32))/(MAX($B$25:$B$32)-MIN($B$25:$B$32))</f>
        <v>#VALUE!</v>
      </c>
      <c r="D26" s="31">
        <f>IF(ISBLANK(E7),$C$20,E7)</f>
        <v>65.0</v>
      </c>
      <c r="E26" s="16" t="e">
        <f ca="1">(D26-AVERAGE($D$25:$D$32))/_xlfn.STDEV.S($D$25:$D$32)</f>
        <v>#NAME?</v>
      </c>
      <c r="F26" s="31">
        <f>IF(ISBLANK(B7),$D$17,B7)</f>
        <v>3.0</v>
      </c>
      <c r="G26" s="13" t="str">
        <f>IF(F26&lt;4,"Low (&lt;4h)",IF(F26&lt;=7,"Medium (4-7h)","High (&gt;=8h)"))</f>
        <v>Low (&lt;4h)</v>
      </c>
    </row>
    <row r="27" spans="8:8">
      <c r="A27" s="13" t="s">
        <v>283</v>
      </c>
      <c r="B27" s="31">
        <f>IF(ISBLANK(C8),$D$18,C8)</f>
        <v>68.0</v>
      </c>
      <c r="C27" s="16">
        <f>(B27-MIN($B$25:$B$32))/(MAX($B$25:$B$32)-MIN($B$25:$B$32))</f>
        <v>0.3023255813953488</v>
      </c>
      <c r="D27" s="31">
        <f>IF(ISBLANK(E8),$C$20,E8)</f>
        <v>72.0</v>
      </c>
      <c r="E27" s="16" t="e">
        <f ca="1">(D27-AVERAGE($D$25:$D$32))/_xlfn.STDEV.S($D$25:$D$32)</f>
        <v>#NAME?</v>
      </c>
      <c r="F27" s="31">
        <f>IF(ISBLANK(B8),$D$17,B8)</f>
        <v>4.0</v>
      </c>
      <c r="G27" s="13" t="str">
        <f>IF(F27&lt;4,"Low (&lt;4h)",IF(F27&lt;=7,"Medium (4-7h)","High (&gt;=8h)"))</f>
        <v>Medium (4-7h)</v>
      </c>
    </row>
    <row r="28" spans="8:8">
      <c r="A28" s="13" t="s">
        <v>285</v>
      </c>
      <c r="B28" s="31">
        <f>IF(ISBLANK(C9),$D$18,C9)</f>
        <v>75.0</v>
      </c>
      <c r="C28" s="16">
        <f>(B28-MIN($B$25:$B$32))/(MAX($B$25:$B$32)-MIN($B$25:$B$32))</f>
        <v>0.46511627906976744</v>
      </c>
      <c r="D28" s="31">
        <f>IF(ISBLANK(E9),$C$20,E9)</f>
        <v>78.0</v>
      </c>
      <c r="E28" s="16" t="e">
        <f ca="1">(D28-AVERAGE($D$25:$D$32))/_xlfn.STDEV.S($D$25:$D$32)</f>
        <v>#NAME?</v>
      </c>
      <c r="F28" s="31">
        <f>IF(ISBLANK(B9),$D$17,B9)</f>
        <v>5.0</v>
      </c>
      <c r="G28" s="13" t="str">
        <f>IF(F28&lt;4,"Low (&lt;4h)",IF(F28&lt;=7,"Medium (4-7h)","High (&gt;=8h)"))</f>
        <v>Medium (4-7h)</v>
      </c>
    </row>
    <row r="29" spans="8:8">
      <c r="A29" s="13" t="s">
        <v>286</v>
      </c>
      <c r="B29" s="31">
        <f>IF(ISBLANK(C10),$D$18,C10)</f>
        <v>80.0</v>
      </c>
      <c r="C29" s="16">
        <f>(B29-MIN($B$25:$B$32))/(MAX($B$25:$B$32)-MIN($B$25:$B$32))</f>
        <v>0.5813953488372093</v>
      </c>
      <c r="D29" s="31">
        <f>IF(ISBLANK(E10),$C$20,E10)</f>
        <v>82.0</v>
      </c>
      <c r="E29" s="16" t="e">
        <f ca="1">(D29-AVERAGE($D$25:$D$32))/_xlfn.STDEV.S($D$25:$D$32)</f>
        <v>#NAME?</v>
      </c>
      <c r="F29" s="31" t="str">
        <f>IF(ISBLANK(B10),$D$17,B10)</f>
        <v>NaN</v>
      </c>
      <c r="G29" s="13" t="str">
        <f>IF(F29&lt;4,"Low (&lt;4h)",IF(F29&lt;=7,"Medium (4-7h)","High (&gt;=8h)"))</f>
        <v>High (&gt;=8h)</v>
      </c>
    </row>
    <row r="30" spans="8:8">
      <c r="A30" s="13" t="s">
        <v>288</v>
      </c>
      <c r="B30" s="31">
        <f>IF(ISBLANK(C11),$D$18,C11)</f>
        <v>88.0</v>
      </c>
      <c r="C30" s="16">
        <f>(B30-MIN($B$25:$B$32))/(MAX($B$25:$B$32)-MIN($B$25:$B$32))</f>
        <v>0.7674418604651163</v>
      </c>
      <c r="D30" s="31" t="str">
        <f>IF(ISBLANK(E11),$C$20,E11)</f>
        <v>NaN</v>
      </c>
      <c r="E30" s="16" t="e">
        <f ca="1">(D30-AVERAGE($D$25:$D$32))/_xlfn.STDEV.S($D$25:$D$32)</f>
        <v>#VALUE!</v>
      </c>
      <c r="F30" s="31">
        <f>IF(ISBLANK(B11),$D$17,B11)</f>
        <v>7.0</v>
      </c>
      <c r="G30" s="13" t="str">
        <f>IF(F30&lt;4,"Low (&lt;4h)",IF(F30&lt;=7,"Medium (4-7h)","High (&gt;=8h)"))</f>
        <v>Medium (4-7h)</v>
      </c>
    </row>
    <row r="31" spans="8:8">
      <c r="A31" s="13" t="s">
        <v>289</v>
      </c>
      <c r="B31" s="31">
        <f>IF(ISBLANK(C12),$D$18,C12)</f>
        <v>92.0</v>
      </c>
      <c r="C31" s="16">
        <f>(B31-MIN($B$25:$B$32))/(MAX($B$25:$B$32)-MIN($B$25:$B$32))</f>
        <v>0.8604651162790697</v>
      </c>
      <c r="D31" s="31">
        <f>IF(ISBLANK(E12),$C$20,E12)</f>
        <v>90.0</v>
      </c>
      <c r="E31" s="16" t="e">
        <f ca="1">(D31-AVERAGE($D$25:$D$32))/_xlfn.STDEV.S($D$25:$D$32)</f>
        <v>#NAME?</v>
      </c>
      <c r="F31" s="31">
        <f>IF(ISBLANK(B12),$D$17,B12)</f>
        <v>8.0</v>
      </c>
      <c r="G31" s="13" t="str">
        <f>IF(F31&lt;4,"Low (&lt;4h)",IF(F31&lt;=7,"Medium (4-7h)","High (&gt;=8h)"))</f>
        <v>High (&gt;=8h)</v>
      </c>
    </row>
    <row r="32" spans="8:8">
      <c r="A32" s="13" t="s">
        <v>290</v>
      </c>
      <c r="B32" s="31">
        <f>IF(ISBLANK(C13),$D$18,C13)</f>
        <v>98.0</v>
      </c>
      <c r="C32" s="16">
        <f>(B32-MIN($B$25:$B$32))/(MAX($B$25:$B$32)-MIN($B$25:$B$32))</f>
        <v>1.0</v>
      </c>
      <c r="D32" s="31">
        <f>IF(ISBLANK(E13),$C$20,E13)</f>
        <v>95.0</v>
      </c>
      <c r="E32" s="16" t="e">
        <f ca="1">(D32-AVERAGE($D$25:$D$32))/_xlfn.STDEV.S($D$25:$D$32)</f>
        <v>#NAME?</v>
      </c>
      <c r="F32" s="31">
        <f>IF(ISBLANK(B13),$D$17,B13)</f>
        <v>12.0</v>
      </c>
      <c r="G32" s="13" t="str">
        <f>IF(F32&lt;4,"Low (&lt;4h)",IF(F32&lt;=7,"Medium (4-7h)","High (&gt;=8h)"))</f>
        <v>High (&gt;=8h)</v>
      </c>
    </row>
    <row r="34" spans="8:8" ht="24.0" customHeight="1">
      <c r="A34" s="3" t="s">
        <v>315</v>
      </c>
    </row>
    <row r="35" spans="8:8">
      <c r="A35" s="11" t="s">
        <v>316</v>
      </c>
      <c r="B35" s="12"/>
      <c r="C35" s="12"/>
      <c r="D35" s="12"/>
      <c r="E35" s="12"/>
      <c r="F35" s="12"/>
      <c r="G35" s="12"/>
    </row>
    <row r="36" spans="8:8">
      <c r="A36" s="12"/>
      <c r="B36" s="12"/>
      <c r="C36" s="12"/>
      <c r="D36" s="12"/>
      <c r="E36" s="12"/>
      <c r="F36" s="12"/>
      <c r="G36" s="12"/>
    </row>
    <row r="37" spans="8:8">
      <c r="A37" s="12"/>
      <c r="B37" s="12"/>
      <c r="C37" s="12"/>
      <c r="D37" s="12"/>
      <c r="E37" s="12"/>
      <c r="F37" s="12"/>
      <c r="G37" s="12"/>
    </row>
    <row r="38" spans="8:8">
      <c r="A38" s="12"/>
      <c r="B38" s="12"/>
      <c r="C38" s="12"/>
      <c r="D38" s="12"/>
      <c r="E38" s="12"/>
      <c r="F38" s="12"/>
      <c r="G38" s="12"/>
    </row>
    <row r="39" spans="8:8">
      <c r="A39" s="12"/>
      <c r="B39" s="12"/>
      <c r="C39" s="12"/>
      <c r="D39" s="12"/>
      <c r="E39" s="12"/>
      <c r="F39" s="12"/>
      <c r="G39" s="12"/>
    </row>
  </sheetData>
  <mergeCells count="7">
    <mergeCell ref="A1:G2"/>
    <mergeCell ref="A3:G3"/>
    <mergeCell ref="A35:G39"/>
    <mergeCell ref="A34:G34"/>
    <mergeCell ref="A4:G4"/>
    <mergeCell ref="A15:G15"/>
    <mergeCell ref="A23:G23"/>
  </mergeCells>
  <pageMargins left="0.75" right="0.75" top="1.0" bottom="1.0" header="0.5" footer="0.5"/>
</worksheet>
</file>

<file path=docProps/app.xml><?xml version="1.0" encoding="utf-8"?>
<Properties xmlns="http://schemas.openxmlformats.org/officeDocument/2006/extended-properties">
  <Application>Kingsoft Office</Application>
  <ScaleCrop>0</ScaleCrop>
  <LinksUpToDate>0</LinksUpToDate>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2026-08-05T02:36:05Z</dcterms:created>
  <dcterms:modified xsi:type="dcterms:W3CDTF">2026-08-05T08:07:21Z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dea83bf279fa4c3799e50d7b80ea035c</vt:lpwstr>
  </property>
</Properties>
</file>